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data\local\github\excel-to-graphviz-examples\dot\context-diagram\"/>
    </mc:Choice>
  </mc:AlternateContent>
  <xr:revisionPtr revIDLastSave="0" documentId="13_ncr:1_{5A316716-A069-45DB-937C-CEEE183DEF97}" xr6:coauthVersionLast="47" xr6:coauthVersionMax="47" xr10:uidLastSave="{00000000-0000-0000-0000-000000000000}"/>
  <bookViews>
    <workbookView xWindow="28680" yWindow="-120" windowWidth="29040" windowHeight="15720" tabRatio="773" activeTab="1" xr2:uid="{D55A06BA-B769-41B0-91E4-4B0410C6A894}"/>
  </bookViews>
  <sheets>
    <sheet name="Options" sheetId="9" r:id="rId1"/>
    <sheet name="Actors" sheetId="5" r:id="rId2"/>
    <sheet name="Applications" sheetId="2" r:id="rId3"/>
    <sheet name="Data Stores" sheetId="6" r:id="rId4"/>
    <sheet name="Notes" sheetId="10" r:id="rId5"/>
    <sheet name="Actor to Application" sheetId="8" r:id="rId6"/>
    <sheet name="Application to Application" sheetId="3" r:id="rId7"/>
    <sheet name="Application to Data Store" sheetId="7" r:id="rId8"/>
    <sheet name="Application Descriptions" sheetId="1" r:id="rId9"/>
    <sheet name="Lists" sheetId="4" r:id="rId10"/>
  </sheets>
  <definedNames>
    <definedName name="_xlnm._FilterDatabase" localSheetId="8" hidden="1">'Application Descriptions'!$A$1:$D$21</definedName>
    <definedName name="ActorActions">Lists!$L$2:$L$4</definedName>
    <definedName name="Actors">Actors!$A$2:$A$1048550</definedName>
    <definedName name="ActorTypes">Lists!$D$2:$D$7</definedName>
    <definedName name="APIGateway">Lists!$F$34:$F$41</definedName>
    <definedName name="ApplicationTypes">Lists!$B$2:$B$7</definedName>
    <definedName name="AppsInScope">Applications!$A$2:$A$1048537</definedName>
    <definedName name="AppTitles">Application_Descriptions[Application Title]</definedName>
    <definedName name="CALL">Lists!#REF!</definedName>
    <definedName name="_xlnm.Database">Lists!$H$10:$H$17</definedName>
    <definedName name="DataStoreActions">Lists!$J$2:$J$3</definedName>
    <definedName name="DataStores">'Data Stores'!$A$2:$A$1048566</definedName>
    <definedName name="DataStoreToType" localSheetId="4">DataStoresList[#All]</definedName>
    <definedName name="DataStoreToType">DataStoresList[#All]</definedName>
    <definedName name="DataStoreTypes">Lists!$H$2:$H$7</definedName>
    <definedName name="Directory">Lists!$H$20:$H$21</definedName>
    <definedName name="Email">Lists!$F$13:$F$14</definedName>
    <definedName name="ESB">Lists!$F$17:$F$20</definedName>
    <definedName name="File">Lists!$H$28:$H$29</definedName>
    <definedName name="FileTransfer">Lists!$F$23:$F$27</definedName>
    <definedName name="Folder">Lists!$H$24:$H$25</definedName>
    <definedName name="ForwardProxy">Lists!$F$30:$F$31</definedName>
    <definedName name="HTTPS">Lists!$F$53:$F$55</definedName>
    <definedName name="LeanIX">#REF!</definedName>
    <definedName name="Protocols">Lists!#REF!</definedName>
    <definedName name="Queue">Lists!$H$32:$H$33</definedName>
    <definedName name="Repository">Lists!$H$36:$H$40</definedName>
    <definedName name="ReverseProxy">Lists!$F$44:$F$45</definedName>
    <definedName name="SortedAppList">Lists!$N$2:$N$24</definedName>
    <definedName name="Telephony">Lists!$F$48:$F$50</definedName>
    <definedName name="Via">Lists!$F$2:$F$10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9" l="1"/>
  <c r="C8" i="9" a="1"/>
  <c r="C8" i="9" s="1"/>
  <c r="N2" i="4" a="1"/>
  <c r="N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Jeffrey Long</author>
  </authors>
  <commentList>
    <comment ref="D1" authorId="0" shapeId="0" xr:uid="{B50AB5B9-C555-4928-B89F-028F4C3157C3}">
      <text>
        <r>
          <rPr>
            <sz val="9"/>
            <color indexed="81"/>
            <rFont val="Tahoma"/>
            <family val="2"/>
          </rPr>
          <t xml:space="preserve">Keep the length of Application Descriptions under 255 characters. Longer descriptions will be truncated when displayed as an SVG tooltip.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<sst xmlns="http://schemas.openxmlformats.org/spreadsheetml/2006/main" count="338" uniqueCount="208">
  <si>
    <t>APP ID</t>
  </si>
  <si>
    <t>Application Description</t>
  </si>
  <si>
    <t>ESB</t>
  </si>
  <si>
    <t>Enterprise Service Bus</t>
  </si>
  <si>
    <t>Enterprise Content Manager</t>
  </si>
  <si>
    <t>Message Center</t>
  </si>
  <si>
    <t>Chatbot</t>
  </si>
  <si>
    <t>DevOps</t>
  </si>
  <si>
    <t>Application Title</t>
  </si>
  <si>
    <t>Uses Application</t>
  </si>
  <si>
    <t>Protocol</t>
  </si>
  <si>
    <t>Application Type</t>
  </si>
  <si>
    <t>Application Types</t>
  </si>
  <si>
    <t>Via</t>
  </si>
  <si>
    <t>Caption</t>
  </si>
  <si>
    <t>Actor</t>
  </si>
  <si>
    <t>Actor Type</t>
  </si>
  <si>
    <t>Data Store</t>
  </si>
  <si>
    <t>Data Store Type</t>
  </si>
  <si>
    <t>File</t>
  </si>
  <si>
    <t>Database</t>
  </si>
  <si>
    <t>JDBC</t>
  </si>
  <si>
    <t>Sends To</t>
  </si>
  <si>
    <t>Gets From</t>
  </si>
  <si>
    <t>Queue</t>
  </si>
  <si>
    <t>Actor Types</t>
  </si>
  <si>
    <t>Event</t>
  </si>
  <si>
    <t>ODBC</t>
  </si>
  <si>
    <t>SMTP</t>
  </si>
  <si>
    <t>Telephony</t>
  </si>
  <si>
    <t>SIP</t>
  </si>
  <si>
    <t>FTP</t>
  </si>
  <si>
    <t>SFTP</t>
  </si>
  <si>
    <t>HTTPS</t>
  </si>
  <si>
    <t>LDAP</t>
  </si>
  <si>
    <t>SCP</t>
  </si>
  <si>
    <t>VOIP</t>
  </si>
  <si>
    <t>Directory</t>
  </si>
  <si>
    <t>MQ SOAP</t>
  </si>
  <si>
    <t>MQ REST</t>
  </si>
  <si>
    <t>Email</t>
  </si>
  <si>
    <t>POTS</t>
  </si>
  <si>
    <t>Reverse Proxy</t>
  </si>
  <si>
    <t>Forward Proxy</t>
  </si>
  <si>
    <t>ReverseProxy</t>
  </si>
  <si>
    <t>DataStoreTypes</t>
  </si>
  <si>
    <t>Action</t>
  </si>
  <si>
    <t>DataStoreActions</t>
  </si>
  <si>
    <t>Axway</t>
  </si>
  <si>
    <t>File Transfer</t>
  </si>
  <si>
    <t>FileTransfer</t>
  </si>
  <si>
    <t>Exchange</t>
  </si>
  <si>
    <t>Description</t>
  </si>
  <si>
    <t>Outer Grouping</t>
  </si>
  <si>
    <t>Inner Grouping</t>
  </si>
  <si>
    <t>ActorActions</t>
  </si>
  <si>
    <t>Interacts With</t>
  </si>
  <si>
    <t>Data Warehouse</t>
  </si>
  <si>
    <t>Stored Procedure</t>
  </si>
  <si>
    <t>Data Loader</t>
  </si>
  <si>
    <t>SQL Insert</t>
  </si>
  <si>
    <t>SQL Delete</t>
  </si>
  <si>
    <t>SQL Select</t>
  </si>
  <si>
    <t>SQL Update</t>
  </si>
  <si>
    <t>DataMarts</t>
  </si>
  <si>
    <t>API Gateway</t>
  </si>
  <si>
    <t>A centralized repository that consolidates and stores data from various sources for business intelligence (BI) and analytical purposes.</t>
  </si>
  <si>
    <t>B2C Website</t>
  </si>
  <si>
    <t>APP-10001</t>
  </si>
  <si>
    <t>APP-10002</t>
  </si>
  <si>
    <t>APP-10003</t>
  </si>
  <si>
    <t>APP-10004</t>
  </si>
  <si>
    <t>APP-10005</t>
  </si>
  <si>
    <t>APP-10006</t>
  </si>
  <si>
    <t>APP-10007</t>
  </si>
  <si>
    <t>APP-10008</t>
  </si>
  <si>
    <t>APP-10009</t>
  </si>
  <si>
    <t>APP-10010</t>
  </si>
  <si>
    <t>APP-10011</t>
  </si>
  <si>
    <t>APP-10012</t>
  </si>
  <si>
    <t>APP-10013</t>
  </si>
  <si>
    <t>APP-10014</t>
  </si>
  <si>
    <t>Mail Relay</t>
  </si>
  <si>
    <t>APP-10015</t>
  </si>
  <si>
    <t>APP-10016</t>
  </si>
  <si>
    <t>Consumer</t>
  </si>
  <si>
    <t>Internet</t>
  </si>
  <si>
    <t>Credit Application System</t>
  </si>
  <si>
    <t>APP-10017</t>
  </si>
  <si>
    <t>Corporate Applications</t>
  </si>
  <si>
    <t>Web Browser</t>
  </si>
  <si>
    <t>APP-10018</t>
  </si>
  <si>
    <t>Inventory Management System</t>
  </si>
  <si>
    <t xml:space="preserve">An inventory management system is a software solution that helps businesses track and manage their stock levels, from ordering to tracking and reporting. </t>
  </si>
  <si>
    <t>APP-10019</t>
  </si>
  <si>
    <t>Perimeter Network</t>
  </si>
  <si>
    <t>Notify customer of decision</t>
  </si>
  <si>
    <t>APP-10020</t>
  </si>
  <si>
    <t>A system used by lenders and financial institutions to interact with credit bureaus. Its primary purpose is to access and process credit data from credit bureaus to support lending decisions, risk assessment, and customer management</t>
  </si>
  <si>
    <t>Deliver email to mailbox</t>
  </si>
  <si>
    <t>Format appropriate template and transmit</t>
  </si>
  <si>
    <t>GraphQL</t>
  </si>
  <si>
    <t>gRPC</t>
  </si>
  <si>
    <t>WebSocket</t>
  </si>
  <si>
    <t>HTTP</t>
  </si>
  <si>
    <t>ForwardProxy</t>
  </si>
  <si>
    <t>APIGateway</t>
  </si>
  <si>
    <t>HTTPS REST</t>
  </si>
  <si>
    <t>HTTPS SOAP</t>
  </si>
  <si>
    <t>TCP UDP</t>
  </si>
  <si>
    <t>HTTPS Get</t>
  </si>
  <si>
    <t>HTTPS Post</t>
  </si>
  <si>
    <t>Read eMail notification</t>
  </si>
  <si>
    <t>Emphasize</t>
  </si>
  <si>
    <t>System</t>
  </si>
  <si>
    <t>Person</t>
  </si>
  <si>
    <t>Notification Queue</t>
  </si>
  <si>
    <t>Invoke cloud service to send email</t>
  </si>
  <si>
    <t>Cloud</t>
  </si>
  <si>
    <t>Alarm</t>
  </si>
  <si>
    <t>Marketing CRM</t>
  </si>
  <si>
    <t>Service CRM</t>
  </si>
  <si>
    <t>Homegrown</t>
  </si>
  <si>
    <t>Commercial</t>
  </si>
  <si>
    <t>Partner</t>
  </si>
  <si>
    <t>Email Services</t>
  </si>
  <si>
    <t>Cloud Service Provider</t>
  </si>
  <si>
    <t>Credit Bureau Aggregator</t>
  </si>
  <si>
    <t>Business to Consumer</t>
  </si>
  <si>
    <t>Process</t>
  </si>
  <si>
    <t>Consumer's Home</t>
  </si>
  <si>
    <t>Consumer Lending</t>
  </si>
  <si>
    <t>Folder</t>
  </si>
  <si>
    <t>Read</t>
  </si>
  <si>
    <t>Write</t>
  </si>
  <si>
    <t>Enqueue</t>
  </si>
  <si>
    <t>Dequeue</t>
  </si>
  <si>
    <t>Active Directory</t>
  </si>
  <si>
    <t>Enabled</t>
  </si>
  <si>
    <t>Value</t>
  </si>
  <si>
    <t>Add Legend</t>
  </si>
  <si>
    <t>Option</t>
  </si>
  <si>
    <t>Add Page Border</t>
  </si>
  <si>
    <t>System Timer</t>
  </si>
  <si>
    <t>Check for pending requests</t>
  </si>
  <si>
    <t>Manages interactions between clients and backend services. It acts as a reverse proxy, routing client requests to the appropriate backend services and potentially performing tasks like authentication, authorization, and rate limiting.</t>
  </si>
  <si>
    <t>A smaller, specialized subset of a data warehouse that focuses on a single business line or department.</t>
  </si>
  <si>
    <t xml:space="preserve">Integrates software development (Dev) and IT operations (Ops) through collaboration, automation, and feedback loops to speed up the software delivery lifecycle. </t>
  </si>
  <si>
    <t>A software platform that facilitates communication and integration between different applications and services within an organization. It acts as a central hub for message brokering and routing.</t>
  </si>
  <si>
    <t>A type of proxy server that sits between a client and the internet, facilitating requests from the client to external servers.</t>
  </si>
  <si>
    <t>A type of proxy server that sits in front of one or more web servers and intercepts client requests before forwarding them to the backend servers. It then sends the responses back to the client.</t>
  </si>
  <si>
    <t>Add to send queue</t>
  </si>
  <si>
    <t>Release from send queue</t>
  </si>
  <si>
    <t>The recipient of the email notification being sent.</t>
  </si>
  <si>
    <t>A Business-to-Consumer (B2C) website used to sell products or services directly to individual consumers, rather than to other businesses.</t>
  </si>
  <si>
    <t>Consumer Notifications</t>
  </si>
  <si>
    <t xml:space="preserve">A service that helps create, send, and manage various types of notifications to customers, including mobile text message notifications, push notifications, and email notifications. </t>
  </si>
  <si>
    <t>An in-house application used to process customer credit applications, assess creditworthiness, and manage credit risk.</t>
  </si>
  <si>
    <t>An application designed to simulate conversation with human users, typically through text or voice providing help for commonly asked questions.</t>
  </si>
  <si>
    <t>An application used to manage, store, and access various types of content and documents throughout their lifecycle.</t>
  </si>
  <si>
    <t>A Simple Mail Transfer Protocol (SMTP) relay transfers email from one SMTP server to another over the internet until reaching the intended recipent.</t>
  </si>
  <si>
    <t>A centralized location for collecting and accessing secure messages. In the context of customer service, it's where conversations with customers, both ongoing and ended, are stored.</t>
  </si>
  <si>
    <t xml:space="preserve">A Customer Relationship Management (CRM) platform focused on digital marketing automation and analytics that helps businesses manage their relationships with customers and execute marketing campaigns across various channels. </t>
  </si>
  <si>
    <t xml:space="preserve">A software application that lets you access and view websites on the internet. It acts as a window to the internet, allowing you to navigate and interact with online content. </t>
  </si>
  <si>
    <t>Temporarily holds and manages notification messages before they're delivered to their intended recipients. A digital “waiting room” where prioritized messages line up to be processed in the right order, at the right time.</t>
  </si>
  <si>
    <t>Email Client</t>
  </si>
  <si>
    <t>A software application that allows users to access, compose, and send email messages. It acts as the interface between the user and the mail server. Also known as a Mail User Agent.</t>
  </si>
  <si>
    <t>Business application uses the Consumer Notifications application to send graphics-rich emails to customers.</t>
  </si>
  <si>
    <t>Consumer Notifications application uses cloud-based SAAS software to compose and deliver the message.</t>
  </si>
  <si>
    <t>ID</t>
  </si>
  <si>
    <t>Note</t>
  </si>
  <si>
    <t>Add Cluster Notes</t>
  </si>
  <si>
    <t>Add Canvas Notes</t>
  </si>
  <si>
    <t>minlen=1</t>
  </si>
  <si>
    <t>A Customer Relationship Management (CRM) platform focused on streamlining workflows, automating processes, and empowering customer support agents with tools to manage interactions efficiently.</t>
  </si>
  <si>
    <t>Excel to Graphviz</t>
  </si>
  <si>
    <t>Excel</t>
  </si>
  <si>
    <t>Graphviz</t>
  </si>
  <si>
    <t>APP-10021</t>
  </si>
  <si>
    <t>APP-10022</t>
  </si>
  <si>
    <t>APP-10023</t>
  </si>
  <si>
    <t>An open-source graph visualization software that transforms text-based descriptions of relationships into structured diagrams. It’s especially useful for representing networks, hierarchies, and dependencies in formats like SVG, PDF, and PNG.</t>
  </si>
  <si>
    <t>A versatile spreadsheet application by Microsoft used for organizing, analyzing, and visualizing data through formulas, charts, and automation tools like VBA.</t>
  </si>
  <si>
    <t>A a powerful bridge between spreadsheet data and visual relationship mapping that converts tabular data in Excel into dynamic Graphviz diagrams with no coding required.</t>
  </si>
  <si>
    <t>https://www.microsoft.com/en-us/microsoft-365/excel</t>
  </si>
  <si>
    <t>URL</t>
  </si>
  <si>
    <t>https://graphviz.org/</t>
  </si>
  <si>
    <t>https://exceltographviz.com/</t>
  </si>
  <si>
    <t>SortedAppList</t>
  </si>
  <si>
    <t>Open-source</t>
  </si>
  <si>
    <t>Organization</t>
  </si>
  <si>
    <t>Bot</t>
  </si>
  <si>
    <t>Repository</t>
  </si>
  <si>
    <t>Commit</t>
  </si>
  <si>
    <t>Fetch</t>
  </si>
  <si>
    <t>Merge</t>
  </si>
  <si>
    <t>Pull</t>
  </si>
  <si>
    <t>Push</t>
  </si>
  <si>
    <t>Runs once per minute to inform Consumer Notifications it is time to check for tasks to perform.</t>
  </si>
  <si>
    <t>Title Block Author</t>
  </si>
  <si>
    <t>Title Block Filename</t>
  </si>
  <si>
    <t>Title Block Date</t>
  </si>
  <si>
    <t>Jeffrey Long</t>
  </si>
  <si>
    <t>System Context for Consumer Notifications Application</t>
  </si>
  <si>
    <t>Title Block Title</t>
  </si>
  <si>
    <t>source</t>
  </si>
  <si>
    <t>Assumption: Consumer can apply for credit on-line, or at a retail establishment.</t>
  </si>
  <si>
    <t>Assumption: Consumer has applied for credit, and is waiting to learn of the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</si>
</sst>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rgb="FFFF0000"/>
      <name val="Calibri"/>
      <family val="2"/>
      <scheme val="minor"/>
    </font>
    <font>
      <sz val="11"/>
      <color theme="4"/>
      <name val="Calibri"/>
      <family val="2"/>
      <scheme val="minor"/>
    </font>
    <font>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sz val="9"/>
      <color indexed="81"/>
      <name val="Tahoma"/>
      <family val="2"/>
    </font>
    <font>
      <u/>
      <sz val="11"/>
      <color theme="10"/>
      <name val="Calibri"/>
      <family val="2"/>
      <scheme val="minor"/>
    </font>
    <font>
      <i/>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5"/>
        <bgColor theme="5"/>
      </patternFill>
    </fill>
    <fill>
      <patternFill patternType="solid">
        <fgColor theme="8" tint="0.79998168889431442"/>
        <bgColor indexed="64"/>
      </patternFill>
    </fill>
  </fills>
  <borders count="9">
    <border>
      <left/>
      <right/>
      <top/>
      <bottom/>
      <diagonal/>
    </border>
    <border>
      <left style="thin">
        <color theme="4"/>
      </left>
      <right style="thin">
        <color theme="4"/>
      </right>
      <top style="thin">
        <color theme="4"/>
      </top>
      <bottom/>
      <diagonal/>
    </border>
    <border>
      <left style="thin">
        <color theme="5"/>
      </left>
      <right style="thin">
        <color theme="5"/>
      </right>
      <top style="thin">
        <color theme="5"/>
      </top>
      <bottom/>
      <diagonal/>
    </border>
    <border>
      <left style="thin">
        <color theme="4"/>
      </left>
      <right style="thin">
        <color theme="4"/>
      </right>
      <top style="thin">
        <color indexed="64"/>
      </top>
      <bottom/>
      <diagonal/>
    </border>
    <border>
      <left style="thin">
        <color theme="5"/>
      </left>
      <right style="thin">
        <color theme="5"/>
      </right>
      <top style="thin">
        <color theme="5"/>
      </top>
      <bottom style="thin">
        <color theme="5"/>
      </bottom>
      <diagonal/>
    </border>
    <border>
      <left style="thin">
        <color theme="4"/>
      </left>
      <right style="thin">
        <color theme="4"/>
      </right>
      <top style="thin">
        <color theme="4"/>
      </top>
      <bottom style="thin">
        <color indexed="64"/>
      </bottom>
      <diagonal/>
    </border>
    <border>
      <left style="thin">
        <color theme="4"/>
      </left>
      <right style="thin">
        <color theme="4"/>
      </right>
      <top style="thin">
        <color theme="4"/>
      </top>
      <bottom style="thin">
        <color theme="4"/>
      </bottom>
      <diagonal/>
    </border>
    <border>
      <left/>
      <right/>
      <top style="thin">
        <color theme="6"/>
      </top>
      <bottom/>
      <diagonal/>
    </border>
    <border>
      <left/>
      <right style="thin">
        <color theme="6"/>
      </right>
      <top style="thin">
        <color theme="6"/>
      </top>
      <bottom/>
      <diagonal/>
    </border>
  </borders>
  <cellStyleXfs count="3">
    <xf numFmtId="0" fontId="0" fillId="0" borderId="0"/>
    <xf numFmtId="0" fontId="4" fillId="0" borderId="0"/>
    <xf numFmtId="0" fontId="9" fillId="0" borderId="0" applyNumberFormat="0" applyFill="0" applyBorder="0" applyAlignment="0" applyProtection="0"/>
  </cellStyleXfs>
  <cellXfs count="23">
    <xf numFmtId="0" fontId="0" fillId="0" borderId="0" xfId="0"/>
    <xf numFmtId="0" fontId="1" fillId="0" borderId="0" xfId="0" applyFont="1"/>
    <xf numFmtId="0" fontId="3" fillId="0" borderId="0" xfId="0" applyFont="1"/>
    <xf numFmtId="0" fontId="1" fillId="0" borderId="0" xfId="0" applyFont="1" applyAlignment="1">
      <alignment vertical="top"/>
    </xf>
    <xf numFmtId="0" fontId="0" fillId="0" borderId="0" xfId="0" applyAlignment="1">
      <alignment vertical="top" wrapText="1"/>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2" xfId="0" applyBorder="1"/>
    <xf numFmtId="0" fontId="0" fillId="0" borderId="4" xfId="0" applyBorder="1"/>
    <xf numFmtId="0" fontId="0" fillId="0" borderId="1" xfId="0" applyBorder="1"/>
    <xf numFmtId="0" fontId="0" fillId="0" borderId="6" xfId="0" applyBorder="1"/>
    <xf numFmtId="0" fontId="5" fillId="2" borderId="1" xfId="0" applyFont="1" applyFill="1" applyBorder="1"/>
    <xf numFmtId="0" fontId="0" fillId="0" borderId="3" xfId="0" applyBorder="1"/>
    <xf numFmtId="0" fontId="0" fillId="0" borderId="5" xfId="0" applyBorder="1"/>
    <xf numFmtId="0" fontId="5" fillId="3" borderId="2" xfId="0" applyFont="1" applyFill="1" applyBorder="1"/>
    <xf numFmtId="0" fontId="6" fillId="0" borderId="0" xfId="0" applyFont="1" applyAlignment="1">
      <alignment vertical="top"/>
    </xf>
    <xf numFmtId="0" fontId="1" fillId="0" borderId="0" xfId="0" applyFont="1" applyAlignment="1">
      <alignment vertical="top" wrapText="1"/>
    </xf>
    <xf numFmtId="0" fontId="6" fillId="0" borderId="0" xfId="0" applyFont="1" applyAlignment="1">
      <alignment vertical="top" wrapText="1"/>
    </xf>
    <xf numFmtId="0" fontId="0" fillId="0" borderId="7" xfId="0" applyBorder="1" applyAlignment="1">
      <alignment vertical="top"/>
    </xf>
    <xf numFmtId="0" fontId="0" fillId="0" borderId="8" xfId="0" applyBorder="1" applyAlignment="1">
      <alignment vertical="top"/>
    </xf>
    <xf numFmtId="0" fontId="9" fillId="0" borderId="0" xfId="2" applyAlignment="1">
      <alignment vertical="top"/>
    </xf>
    <xf numFmtId="0" fontId="10" fillId="4" borderId="0" xfId="0" applyFont="1" applyFill="1"/>
  </cellXfs>
  <cellStyles count="3">
    <cellStyle name="Hyperlink" xfId="2" builtinId="8"/>
    <cellStyle name="Normal" xfId="0" builtinId="0"/>
    <cellStyle name="Normal 2" xfId="1" xr:uid="{26B342FD-2AE4-4C5F-856B-9436E551CE37}"/>
  </cellStyles>
  <dxfs count="52">
    <dxf>
      <font>
        <color theme="5"/>
      </font>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font>
        <b val="0"/>
        <i val="0"/>
        <strike val="0"/>
        <condense val="0"/>
        <extend val="0"/>
        <outline val="0"/>
        <shadow val="0"/>
        <u val="none"/>
        <vertAlign val="baseline"/>
        <sz val="11"/>
        <color theme="4"/>
        <name val="Calibri"/>
        <family val="2"/>
        <scheme val="minor"/>
      </font>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theme="4"/>
        <name val="Calibri"/>
        <family val="2"/>
        <scheme val="minor"/>
      </font>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4"/>
        <name val="Calibri"/>
        <family val="2"/>
        <scheme val="minor"/>
      </font>
    </dxf>
    <dxf>
      <font>
        <strike val="0"/>
        <outline val="0"/>
        <shadow val="0"/>
        <u val="none"/>
        <vertAlign val="baseline"/>
        <sz val="11"/>
        <color theme="4"/>
        <name val="Calibri"/>
        <family val="2"/>
        <scheme val="minor"/>
      </font>
    </dxf>
    <dxf>
      <font>
        <b/>
        <i val="0"/>
        <strike val="0"/>
        <condense val="0"/>
        <extend val="0"/>
        <outline val="0"/>
        <shadow val="0"/>
        <u val="none"/>
        <vertAlign val="baseline"/>
        <sz val="11"/>
        <color theme="1"/>
        <name val="Calibri"/>
        <family val="2"/>
        <scheme val="minor"/>
      </font>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theme="4"/>
        <name val="Calibri"/>
        <family val="2"/>
        <scheme val="minor"/>
      </font>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FFFFCC"/>
      <color rgb="FF1E4E79"/>
      <color rgb="FF305497"/>
      <color rgb="FFFFC000"/>
      <color rgb="FFA5A5A5"/>
      <color rgb="FFE2EFD9"/>
      <color rgb="FF9CC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73AA40-B626-48DB-BA46-9A462737E0EC}" name="Table3" displayName="Table3" ref="A1:C1048569" totalsRowShown="0">
  <autoFilter ref="A1:C1048569" xr:uid="{2D73AA40-B626-48DB-BA46-9A462737E0EC}"/>
  <tableColumns count="3">
    <tableColumn id="2" xr3:uid="{C3D4F818-685D-4A1D-9F66-BB9308E86BB8}" name="Option" dataDxfId="51"/>
    <tableColumn id="1" xr3:uid="{8821F522-2AE1-46D0-BE93-4E3ED64698BA}" name="Enabled" dataDxfId="50"/>
    <tableColumn id="4" xr3:uid="{F46BC49A-EE60-49BA-BB27-658378BC9F9E}" name="Value" dataDxfId="4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F988EC-B977-44E6-82E5-A9C995AF24F3}" name="ActorsList" displayName="ActorsList" ref="A1:E1048550" totalsRowShown="0" headerRowDxfId="48" dataDxfId="47">
  <autoFilter ref="A1:E1048550" xr:uid="{6DF988EC-B977-44E6-82E5-A9C995AF24F3}"/>
  <tableColumns count="5">
    <tableColumn id="1" xr3:uid="{E2F754CC-6AC1-41F7-B418-B5E8BC89A2D7}" name="Actor" dataDxfId="46"/>
    <tableColumn id="2" xr3:uid="{025D0C65-7BE8-48FA-BB24-0B2A14B81679}" name="Actor Type" dataDxfId="45"/>
    <tableColumn id="3" xr3:uid="{75BD6B6A-163B-4B3F-BDD2-0DD568BE0D53}" name="Outer Grouping" dataDxfId="44"/>
    <tableColumn id="5" xr3:uid="{7F41E55B-262C-43D1-9E6A-A0724F61A017}" name="Inner Grouping" dataDxfId="43"/>
    <tableColumn id="4" xr3:uid="{706AD22E-6309-4646-8DE7-7B119270AFA7}" name="Description" dataDxfId="42"/>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9776C3-5ECB-482E-BE0A-84BD1BD30FDA}" name="Table1" displayName="Table1" ref="A1:D1048564" totalsRowShown="0" headerRowDxfId="41">
  <autoFilter ref="A1:D1048564" xr:uid="{CC9776C3-5ECB-482E-BE0A-84BD1BD30FDA}"/>
  <sortState xmlns:xlrd2="http://schemas.microsoft.com/office/spreadsheetml/2017/richdata2" ref="A2:D7">
    <sortCondition ref="A1:A1048564"/>
  </sortState>
  <tableColumns count="4">
    <tableColumn id="1" xr3:uid="{0AE6E26C-9A99-43B0-BBDD-2FB3A61A21C6}" name="Application Title" dataDxfId="40"/>
    <tableColumn id="2" xr3:uid="{E099B746-AB34-479E-A96D-BCA04680D3A4}" name="Emphasize" dataDxfId="39"/>
    <tableColumn id="3" xr3:uid="{19DB3ED1-1C85-4589-8881-7DC22AA76408}" name="Outer Grouping"/>
    <tableColumn id="4" xr3:uid="{D2D2D25B-FEC9-4542-93C3-4964D06CE9E5}" name="Inner Grouping"/>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BD67AEC-D45F-47C6-9B43-25EE505123F5}" name="DataStoresList" displayName="DataStoresList" ref="A1:E1048566" totalsRowShown="0" headerRowDxfId="38" dataDxfId="37">
  <autoFilter ref="A1:E1048566" xr:uid="{DBD67AEC-D45F-47C6-9B43-25EE505123F5}"/>
  <sortState xmlns:xlrd2="http://schemas.microsoft.com/office/spreadsheetml/2017/richdata2" ref="A2:E2">
    <sortCondition ref="A1:A1048566"/>
  </sortState>
  <tableColumns count="5">
    <tableColumn id="1" xr3:uid="{79C491F6-0C3D-47E7-B2D4-581991F03032}" name="Data Store" dataDxfId="36"/>
    <tableColumn id="2" xr3:uid="{6153DAC3-0DCC-4B6B-A74B-E0D9EC6DF8C7}" name="Data Store Type" dataDxfId="35"/>
    <tableColumn id="3" xr3:uid="{19762D62-370D-4AE3-8B84-BDB7F1F3861D}" name="Outer Grouping" dataDxfId="34"/>
    <tableColumn id="4" xr3:uid="{D501B116-8337-4743-B68E-AEECC8872CCB}" name="Inner Grouping" dataDxfId="33"/>
    <tableColumn id="5" xr3:uid="{261EB9B6-D87E-4160-AE12-1ADCAB82BA93}" name="Description" dataDxfId="32"/>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5710D4-E501-4A7D-9C4F-8B10DC6366D4}" name="Table35" displayName="Table35" ref="A1:D1048565" totalsRowShown="0">
  <autoFilter ref="A1:D1048565" xr:uid="{2D73AA40-B626-48DB-BA46-9A462737E0EC}"/>
  <tableColumns count="4">
    <tableColumn id="1" xr3:uid="{8425BC28-5859-4EA2-9121-C6772C926660}" name="ID" dataDxfId="31"/>
    <tableColumn id="4" xr3:uid="{933F6F27-0D9F-49ED-98E9-B9F387A60EB4}" name="Note" dataDxfId="30"/>
    <tableColumn id="5" xr3:uid="{C5495604-0552-4872-9600-9451D027C646}" name="Outer Grouping" dataDxfId="29"/>
    <tableColumn id="6" xr3:uid="{8454C23A-9CC1-408F-9CD0-118F5E1F898A}" name="Inner Grouping" dataDxfId="28"/>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2409CF5-6344-43E7-AEDC-A16392000A13}" name="ActorToApplicationRelationships" displayName="ActorToApplicationRelationships" ref="A1:D1048560" totalsRowShown="0">
  <autoFilter ref="A1:D1048560" xr:uid="{12409CF5-6344-43E7-AEDC-A16392000A13}"/>
  <tableColumns count="4">
    <tableColumn id="1" xr3:uid="{46D1A397-EF67-4AB2-B905-F305A54537E4}" name="Actor" dataDxfId="27"/>
    <tableColumn id="4" xr3:uid="{971DA9E7-F6A6-405D-8D85-5C9B443C22DD}" name="Action" dataDxfId="26"/>
    <tableColumn id="2" xr3:uid="{3EAFCC76-B166-4AF3-8CFA-B92522C6B373}" name="Uses Application" dataDxfId="25"/>
    <tableColumn id="3" xr3:uid="{D47B0DBF-5DF3-424D-81BE-A15FD977A4EB}" name="Captio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552592-F2E0-492B-9628-2567BA5F1A6E}" name="ApplicationToApplicationRelationships" displayName="ApplicationToApplicationRelationships" ref="A1:E1048558" totalsRowShown="0" headerRowDxfId="24" dataDxfId="23">
  <autoFilter ref="A1:E1048558" xr:uid="{BC552592-F2E0-492B-9628-2567BA5F1A6E}"/>
  <sortState xmlns:xlrd2="http://schemas.microsoft.com/office/spreadsheetml/2017/richdata2" ref="A2:E6">
    <sortCondition ref="A1:A1048558"/>
  </sortState>
  <tableColumns count="5">
    <tableColumn id="1" xr3:uid="{AB0FABA6-B80B-4760-9458-351EE11638DE}" name="Application Title" dataDxfId="22"/>
    <tableColumn id="2" xr3:uid="{86DCD0B8-7EB5-42B1-9D03-444EA68FE39D}" name="Uses Application" dataDxfId="21"/>
    <tableColumn id="3" xr3:uid="{BC9EACC4-17A6-4504-92A1-CF69C5E7A1B9}" name="Via" dataDxfId="20"/>
    <tableColumn id="4" xr3:uid="{E6F47877-7770-46DA-BE22-137B8CAA46E8}" name="Protocol" dataDxfId="19"/>
    <tableColumn id="5" xr3:uid="{5BEE8621-ECF3-4E4B-9593-537BDFF5752B}" name="Caption"/>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039F60-EED7-4DFF-908C-388050911CE2}" name="ApplicationToDataStoreRelationships" displayName="ApplicationToDataStoreRelationships" ref="A1:E1048523" totalsRowShown="0" headerRowDxfId="18" dataDxfId="17">
  <autoFilter ref="A1:E1048523" xr:uid="{DD039F60-EED7-4DFF-908C-388050911CE2}"/>
  <tableColumns count="5">
    <tableColumn id="1" xr3:uid="{97E26972-5BB7-4169-B929-788E085A15E0}" name="Application Title" dataDxfId="16"/>
    <tableColumn id="2" xr3:uid="{666FB791-2017-4207-B119-5C1582C0734E}" name="Action" dataDxfId="15"/>
    <tableColumn id="3" xr3:uid="{8BE38C03-2381-40C1-89E8-EB2D49035872}" name="Data Store" dataDxfId="14"/>
    <tableColumn id="4" xr3:uid="{5E8D3D13-2F7B-4706-B078-2322058C8CE0}" name="Via" dataDxfId="13"/>
    <tableColumn id="5" xr3:uid="{E63212EF-D154-40E9-9144-A9F44845EEE5}" name="Caption"/>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966A1-4939-4158-9306-3FD7D106B595}" name="Application_Descriptions" displayName="Application_Descriptions" ref="A1:E1048572" totalsRowShown="0" headerRowDxfId="12" dataDxfId="11">
  <autoFilter ref="A1:E1048572" xr:uid="{01F966A1-4939-4158-9306-3FD7D106B595}"/>
  <sortState xmlns:xlrd2="http://schemas.microsoft.com/office/spreadsheetml/2017/richdata2" ref="A2:D23">
    <sortCondition ref="A1:A1048572"/>
  </sortState>
  <tableColumns count="5">
    <tableColumn id="1" xr3:uid="{890029A7-C387-451C-AF32-299C456C1627}" name="Application Title" dataDxfId="10"/>
    <tableColumn id="2" xr3:uid="{D8C03383-E6F8-4184-8955-CF27FAB4D225}" name="APP ID" dataDxfId="9"/>
    <tableColumn id="3" xr3:uid="{240CEE69-10D2-4193-924F-1A66F0330C45}" name="Application Type" dataDxfId="8"/>
    <tableColumn id="4" xr3:uid="{05737BE2-933E-4757-97A4-CC8C0AC501D5}" name="Application Description" dataDxfId="7"/>
    <tableColumn id="5" xr3:uid="{30782ADB-0922-4E20-BF5C-12D2249BF257}" name="URL" dataDxfId="6"/>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exceltographviz.com/" TargetMode="External"/><Relationship Id="rId7" Type="http://schemas.openxmlformats.org/officeDocument/2006/relationships/comments" Target="../comments1.xml"/><Relationship Id="rId2" Type="http://schemas.openxmlformats.org/officeDocument/2006/relationships/hyperlink" Target="https://graphviz.org/" TargetMode="External"/><Relationship Id="rId1" Type="http://schemas.openxmlformats.org/officeDocument/2006/relationships/hyperlink" Target="https://www.microsoft.com/en-us/microsoft-365/excel" TargetMode="External"/><Relationship Id="rId6" Type="http://schemas.openxmlformats.org/officeDocument/2006/relationships/table" Target="../tables/table9.xml"/><Relationship Id="rId5" Type="http://schemas.openxmlformats.org/officeDocument/2006/relationships/vmlDrawing" Target="../drawings/vmlDrawing1.vml"/><Relationship Id="rId4"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58482-4757-4DA1-B880-BFB7EDA1EFC0}">
  <sheetPr codeName="Sheet9"/>
  <dimension ref="A1:C9"/>
  <sheetViews>
    <sheetView workbookViewId="0">
      <pane ySplit="1" topLeftCell="A2" activePane="bottomLeft" state="frozen"/>
      <selection pane="bottomLeft" activeCell="D22" sqref="D22"/>
    </sheetView>
  </sheetViews>
  <sheetFormatPr defaultRowHeight="15" x14ac:dyDescent="0.25"/>
  <cols>
    <col min="1" max="1" width="19.140625" style="6" bestFit="1" customWidth="1"/>
    <col min="2" max="2" width="10.42578125" style="6" bestFit="1" customWidth="1"/>
    <col min="3" max="3" width="59.28515625" style="4" customWidth="1"/>
    <col min="4" max="4" width="66.5703125" style="6" customWidth="1"/>
    <col min="5" max="16384" width="9.140625" style="6"/>
  </cols>
  <sheetData>
    <row r="1" spans="1:3" s="3" customFormat="1" x14ac:dyDescent="0.25">
      <c r="A1" s="3" t="s">
        <v>141</v>
      </c>
      <c r="B1" s="3" t="s">
        <v>138</v>
      </c>
      <c r="C1" s="17" t="s">
        <v>139</v>
      </c>
    </row>
    <row r="2" spans="1:3" x14ac:dyDescent="0.25">
      <c r="A2" s="6" t="s">
        <v>142</v>
      </c>
      <c r="B2" s="6" t="b">
        <v>1</v>
      </c>
      <c r="C2" s="4" t="s">
        <v>203</v>
      </c>
    </row>
    <row r="3" spans="1:3" x14ac:dyDescent="0.25">
      <c r="A3" s="6" t="s">
        <v>140</v>
      </c>
      <c r="B3" s="6" t="b">
        <v>1</v>
      </c>
      <c r="C3" s="4" t="s">
        <v>205</v>
      </c>
    </row>
    <row r="4" spans="1:3" x14ac:dyDescent="0.25">
      <c r="A4" s="6" t="s">
        <v>171</v>
      </c>
      <c r="B4" s="6" t="b">
        <v>1</v>
      </c>
    </row>
    <row r="5" spans="1:3" x14ac:dyDescent="0.25">
      <c r="A5" s="6" t="s">
        <v>172</v>
      </c>
      <c r="B5" s="6" t="b">
        <v>1</v>
      </c>
      <c r="C5" s="4" t="s">
        <v>173</v>
      </c>
    </row>
    <row r="6" spans="1:3" x14ac:dyDescent="0.25">
      <c r="A6" s="6" t="s">
        <v>204</v>
      </c>
      <c r="B6" s="6" t="b">
        <v>1</v>
      </c>
      <c r="C6" s="4" t="s">
        <v>155</v>
      </c>
    </row>
    <row r="7" spans="1:3" x14ac:dyDescent="0.25">
      <c r="A7" s="6" t="s">
        <v>199</v>
      </c>
      <c r="B7" s="6" t="b">
        <v>1</v>
      </c>
      <c r="C7" s="4" t="s">
        <v>202</v>
      </c>
    </row>
    <row r="8" spans="1:3" x14ac:dyDescent="0.25">
      <c r="A8" s="6" t="s">
        <v>200</v>
      </c>
      <c r="B8" s="6" t="b">
        <v>1</v>
      </c>
      <c r="C8" s="22" t="str" cm="1">
        <f t="array" aca="1" ref="C8" ca="1">MID(CELL("filename",A1),FIND("[",CELL("filename",A1))+1,FIND("]",CELL("filename",A1))-FIND("[",CELL("filename",A1))-1)</f>
        <v>Context Diagram Data.xlsx</v>
      </c>
    </row>
    <row r="9" spans="1:3" x14ac:dyDescent="0.25">
      <c r="A9" s="6" t="s">
        <v>201</v>
      </c>
      <c r="B9" s="6" t="b">
        <v>1</v>
      </c>
      <c r="C9" s="22" t="str">
        <f ca="1">TEXT(TODAY(),"mmmm d, yyyy")</f>
        <v>February 17, 2026</v>
      </c>
    </row>
  </sheetData>
  <phoneticPr fontId="7" type="noConversion"/>
  <conditionalFormatting sqref="B1:B1048569">
    <cfRule type="containsText" dxfId="5" priority="1" operator="containsText" text="FALSE">
      <formula>NOT(ISERROR(SEARCH("FALSE",B1)))</formula>
    </cfRule>
    <cfRule type="containsText" dxfId="4" priority="2" operator="containsText" text="TRUE">
      <formula>NOT(ISERROR(SEARCH("TRUE",B1)))</formula>
    </cfRule>
  </conditionalFormatting>
  <dataValidations count="2">
    <dataValidation type="list" allowBlank="1" showInputMessage="1" showErrorMessage="1" sqref="C3" xr:uid="{1AA63B92-04D0-4104-AA04-7A2DA15FE4DA}">
      <formula1>"min,max,source,sink"</formula1>
    </dataValidation>
    <dataValidation type="list" allowBlank="1" showInputMessage="1" showErrorMessage="1" sqref="B2:B1048569" xr:uid="{241AFDE5-79B7-4764-8279-5E1ADDCDB39F}">
      <formula1>"TRUE,FALSE"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3E36-9761-4FB7-A68C-9A0090158D38}">
  <sheetPr codeName="Sheet1">
    <tabColor theme="4"/>
  </sheetPr>
  <dimension ref="A1:E3"/>
  <sheetViews>
    <sheetView tabSelected="1" workbookViewId="0">
      <pane ySplit="1" topLeftCell="A2" activePane="bottomLeft" state="frozen"/>
      <selection pane="bottomLeft" activeCell="H10" sqref="H10"/>
    </sheetView>
  </sheetViews>
  <sheetFormatPr defaultRowHeight="15" x14ac:dyDescent="0.25"/>
  <cols>
    <col min="1" max="1" width="28.5703125" style="6" customWidth="1"/>
    <col min="2" max="2" width="12.7109375" style="5" bestFit="1" customWidth="1"/>
    <col min="3" max="4" width="28.5703125" style="6" customWidth="1"/>
    <col min="5" max="5" width="114.140625" style="6" customWidth="1"/>
    <col min="6" max="16384" width="9.140625" style="6"/>
  </cols>
  <sheetData>
    <row r="1" spans="1:5" s="3" customFormat="1" x14ac:dyDescent="0.25">
      <c r="A1" s="3" t="s">
        <v>15</v>
      </c>
      <c r="B1" s="3" t="s">
        <v>16</v>
      </c>
      <c r="C1" s="3" t="s">
        <v>53</v>
      </c>
      <c r="D1" s="3" t="s">
        <v>54</v>
      </c>
      <c r="E1" s="3" t="s">
        <v>52</v>
      </c>
    </row>
    <row r="2" spans="1:5" x14ac:dyDescent="0.25">
      <c r="A2" s="6" t="s">
        <v>85</v>
      </c>
      <c r="B2" s="5" t="s">
        <v>115</v>
      </c>
      <c r="C2" s="6" t="s">
        <v>86</v>
      </c>
      <c r="D2" s="6" t="s">
        <v>130</v>
      </c>
      <c r="E2" s="6" t="s">
        <v>153</v>
      </c>
    </row>
    <row r="3" spans="1:5" x14ac:dyDescent="0.25">
      <c r="A3" s="6" t="s">
        <v>143</v>
      </c>
      <c r="B3" s="5" t="s">
        <v>26</v>
      </c>
      <c r="C3" t="s">
        <v>89</v>
      </c>
      <c r="D3" s="6" t="s">
        <v>128</v>
      </c>
      <c r="E3" s="6" t="s">
        <v>198</v>
      </c>
    </row>
  </sheetData>
  <dataValidations count="1">
    <dataValidation type="list" allowBlank="1" showInputMessage="1" showErrorMessage="1" sqref="B2:B1048550" xr:uid="{380EF90B-6580-47E5-A1D0-CE945D4598A8}">
      <formula1>ActorTypes</formula1>
    </dataValidation>
  </dataValidations>
  <pageMargins left="0.7" right="0.7" top="0.75" bottom="0.75" header="0.3" footer="0.3"/>
  <pageSetup orientation="portrait" horizontalDpi="90" verticalDpi="9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2FAB-F933-4C77-ACB8-2C6A3A3520CD}">
  <sheetPr codeName="Sheet2">
    <tabColor theme="4"/>
  </sheetPr>
  <dimension ref="A1:D7"/>
  <sheetViews>
    <sheetView workbookViewId="0">
      <pane ySplit="1" topLeftCell="A2" activePane="bottomLeft" state="frozen"/>
      <selection pane="bottomLeft" activeCell="G29" sqref="G29"/>
    </sheetView>
  </sheetViews>
  <sheetFormatPr defaultRowHeight="15" x14ac:dyDescent="0.25"/>
  <cols>
    <col min="1" max="1" width="28.5703125" style="2" customWidth="1"/>
    <col min="2" max="2" width="12.7109375" style="2" bestFit="1" customWidth="1"/>
    <col min="3" max="4" width="30" customWidth="1"/>
  </cols>
  <sheetData>
    <row r="1" spans="1:4" s="1" customFormat="1" x14ac:dyDescent="0.25">
      <c r="A1" s="1" t="s">
        <v>8</v>
      </c>
      <c r="B1" s="1" t="s">
        <v>113</v>
      </c>
      <c r="C1" s="1" t="s">
        <v>53</v>
      </c>
      <c r="D1" s="1" t="s">
        <v>54</v>
      </c>
    </row>
    <row r="2" spans="1:4" x14ac:dyDescent="0.25">
      <c r="A2" s="2" t="s">
        <v>155</v>
      </c>
      <c r="B2" s="2" t="b">
        <v>1</v>
      </c>
      <c r="C2" t="s">
        <v>89</v>
      </c>
      <c r="D2" t="s">
        <v>128</v>
      </c>
    </row>
    <row r="3" spans="1:4" x14ac:dyDescent="0.25">
      <c r="A3" s="2" t="s">
        <v>87</v>
      </c>
      <c r="C3" t="s">
        <v>89</v>
      </c>
      <c r="D3" t="s">
        <v>131</v>
      </c>
    </row>
    <row r="4" spans="1:4" x14ac:dyDescent="0.25">
      <c r="A4" s="2" t="s">
        <v>165</v>
      </c>
      <c r="C4" t="s">
        <v>86</v>
      </c>
      <c r="D4" t="s">
        <v>130</v>
      </c>
    </row>
    <row r="5" spans="1:4" x14ac:dyDescent="0.25">
      <c r="A5" s="2" t="s">
        <v>43</v>
      </c>
      <c r="C5" t="s">
        <v>89</v>
      </c>
      <c r="D5" t="s">
        <v>95</v>
      </c>
    </row>
    <row r="6" spans="1:4" x14ac:dyDescent="0.25">
      <c r="A6" s="2" t="s">
        <v>82</v>
      </c>
      <c r="C6" t="s">
        <v>86</v>
      </c>
      <c r="D6" t="s">
        <v>125</v>
      </c>
    </row>
    <row r="7" spans="1:4" x14ac:dyDescent="0.25">
      <c r="A7" s="2" t="s">
        <v>120</v>
      </c>
      <c r="C7" t="s">
        <v>86</v>
      </c>
      <c r="D7" t="s">
        <v>126</v>
      </c>
    </row>
  </sheetData>
  <sortState xmlns:xlrd2="http://schemas.microsoft.com/office/spreadsheetml/2017/richdata2" ref="A2:D1048537">
    <sortCondition ref="C2:C1048537"/>
    <sortCondition ref="D2:D1048537"/>
    <sortCondition ref="A2:A1048537"/>
  </sortState>
  <conditionalFormatting sqref="A1:A1048576">
    <cfRule type="duplicateValues" dxfId="3" priority="1"/>
  </conditionalFormatting>
  <dataValidations count="2">
    <dataValidation type="list" allowBlank="1" showInputMessage="1" showErrorMessage="1" sqref="B2:B1048564" xr:uid="{51BCF82E-8D3F-4C1B-A240-C9371CD1550F}">
      <formula1>"TRUE"</formula1>
    </dataValidation>
    <dataValidation type="list" allowBlank="1" showInputMessage="1" showErrorMessage="1" sqref="A2:A1048576" xr:uid="{CBD33F13-FFBD-4CFB-8725-65CC10AA4A01}">
      <formula1>SortedAppList</formula1>
    </dataValidation>
  </dataValidations>
  <pageMargins left="0.7" right="0.7" top="0.75" bottom="0.75" header="0.3" footer="0.3"/>
  <pageSetup orientation="portrait" horizontalDpi="90" verticalDpi="9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ABA84-666D-4419-8CC6-9D638F5B55F2}">
  <sheetPr codeName="Sheet3">
    <tabColor theme="4"/>
  </sheetPr>
  <dimension ref="A1:E2"/>
  <sheetViews>
    <sheetView workbookViewId="0">
      <pane ySplit="1" topLeftCell="A2" activePane="bottomLeft" state="frozen"/>
      <selection pane="bottomLeft" activeCell="I18" sqref="I18"/>
    </sheetView>
  </sheetViews>
  <sheetFormatPr defaultRowHeight="15" x14ac:dyDescent="0.25"/>
  <cols>
    <col min="1" max="1" width="28.5703125" style="6" customWidth="1"/>
    <col min="2" max="2" width="21.42578125" style="5" customWidth="1"/>
    <col min="3" max="4" width="28.5703125" style="6" customWidth="1"/>
    <col min="5" max="5" width="114.28515625" style="4" customWidth="1"/>
    <col min="6" max="16384" width="9.140625" style="6"/>
  </cols>
  <sheetData>
    <row r="1" spans="1:5" s="3" customFormat="1" x14ac:dyDescent="0.25">
      <c r="A1" s="3" t="s">
        <v>17</v>
      </c>
      <c r="B1" s="3" t="s">
        <v>18</v>
      </c>
      <c r="C1" s="3" t="s">
        <v>53</v>
      </c>
      <c r="D1" s="3" t="s">
        <v>54</v>
      </c>
      <c r="E1" s="17" t="s">
        <v>52</v>
      </c>
    </row>
    <row r="2" spans="1:5" ht="30" x14ac:dyDescent="0.25">
      <c r="A2" s="6" t="s">
        <v>116</v>
      </c>
      <c r="B2" s="5" t="s">
        <v>24</v>
      </c>
      <c r="C2" s="6" t="s">
        <v>89</v>
      </c>
      <c r="D2" s="6" t="s">
        <v>128</v>
      </c>
      <c r="E2" s="4" t="s">
        <v>164</v>
      </c>
    </row>
  </sheetData>
  <sortState xmlns:xlrd2="http://schemas.microsoft.com/office/spreadsheetml/2017/richdata2" ref="A2:B2">
    <sortCondition ref="A2"/>
  </sortState>
  <dataConsolidate/>
  <dataValidations count="1">
    <dataValidation type="list" allowBlank="1" showInputMessage="1" showErrorMessage="1" sqref="B2:B1048566" xr:uid="{43013384-A7B0-4BA3-97DF-FCF64F13DF67}">
      <formula1>DataStoreTypes</formula1>
    </dataValidation>
  </dataValidations>
  <pageMargins left="0.7" right="0.7" top="0.75" bottom="0.75" header="0.3" footer="0.3"/>
  <pageSetup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C125-62DD-49EF-B0AA-4ECFAF874502}">
  <sheetPr codeName="Sheet10">
    <tabColor theme="4"/>
  </sheetPr>
  <dimension ref="A1:D6"/>
  <sheetViews>
    <sheetView workbookViewId="0">
      <pane ySplit="1" topLeftCell="A2" activePane="bottomLeft" state="frozen"/>
      <selection pane="bottomLeft" activeCell="F25" sqref="F25"/>
    </sheetView>
  </sheetViews>
  <sheetFormatPr defaultRowHeight="15" x14ac:dyDescent="0.25"/>
  <cols>
    <col min="1" max="1" width="5.140625" style="4" bestFit="1" customWidth="1"/>
    <col min="2" max="2" width="66.5703125" style="4" customWidth="1"/>
    <col min="3" max="4" width="28.5703125" style="6" customWidth="1"/>
    <col min="5" max="5" width="23.42578125" style="6" customWidth="1"/>
    <col min="6" max="16384" width="9.140625" style="6"/>
  </cols>
  <sheetData>
    <row r="1" spans="1:4" s="3" customFormat="1" x14ac:dyDescent="0.25">
      <c r="A1" s="17" t="s">
        <v>169</v>
      </c>
      <c r="B1" s="17" t="s">
        <v>170</v>
      </c>
      <c r="C1" s="3" t="s">
        <v>53</v>
      </c>
      <c r="D1" s="3" t="s">
        <v>54</v>
      </c>
    </row>
    <row r="2" spans="1:4" ht="30" x14ac:dyDescent="0.25">
      <c r="A2" s="4">
        <v>1</v>
      </c>
      <c r="B2" s="4" t="s">
        <v>167</v>
      </c>
      <c r="C2" s="19" t="s">
        <v>89</v>
      </c>
      <c r="D2" s="20" t="s">
        <v>128</v>
      </c>
    </row>
    <row r="3" spans="1:4" ht="30" x14ac:dyDescent="0.25">
      <c r="A3" s="4">
        <v>2</v>
      </c>
      <c r="B3" s="4" t="s">
        <v>157</v>
      </c>
      <c r="C3" s="19" t="s">
        <v>89</v>
      </c>
      <c r="D3" s="20" t="s">
        <v>131</v>
      </c>
    </row>
    <row r="4" spans="1:4" ht="30" x14ac:dyDescent="0.25">
      <c r="A4" s="4">
        <v>3</v>
      </c>
      <c r="B4" s="4" t="s">
        <v>168</v>
      </c>
      <c r="C4" s="19" t="s">
        <v>86</v>
      </c>
      <c r="D4" s="20" t="s">
        <v>126</v>
      </c>
    </row>
    <row r="5" spans="1:4" ht="30" x14ac:dyDescent="0.25">
      <c r="A5" s="4">
        <v>4</v>
      </c>
      <c r="B5" s="4" t="s">
        <v>206</v>
      </c>
    </row>
    <row r="6" spans="1:4" ht="30" x14ac:dyDescent="0.25">
      <c r="A6" s="4">
        <v>5</v>
      </c>
      <c r="B6" s="4" t="s">
        <v>207</v>
      </c>
    </row>
  </sheetData>
  <conditionalFormatting sqref="A1:A1048576">
    <cfRule type="duplicateValues" dxfId="2"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65628-42B3-4CD5-98CA-610697B3DA20}">
  <sheetPr codeName="Sheet4">
    <tabColor theme="9"/>
  </sheetPr>
  <dimension ref="A1:D3"/>
  <sheetViews>
    <sheetView workbookViewId="0">
      <pane ySplit="1" topLeftCell="A2" activePane="bottomLeft" state="frozen"/>
      <selection pane="bottomLeft" activeCell="D13" sqref="D13"/>
    </sheetView>
  </sheetViews>
  <sheetFormatPr defaultRowHeight="15" x14ac:dyDescent="0.25"/>
  <cols>
    <col min="1" max="1" width="28.5703125" style="2" customWidth="1"/>
    <col min="2" max="2" width="13.5703125" style="2" bestFit="1" customWidth="1"/>
    <col min="3" max="3" width="28.5703125" style="2" customWidth="1"/>
    <col min="4" max="4" width="42.7109375" customWidth="1"/>
  </cols>
  <sheetData>
    <row r="1" spans="1:4" s="1" customFormat="1" x14ac:dyDescent="0.25">
      <c r="A1" s="1" t="s">
        <v>15</v>
      </c>
      <c r="B1" s="1" t="s">
        <v>46</v>
      </c>
      <c r="C1" s="1" t="s">
        <v>9</v>
      </c>
      <c r="D1" s="1" t="s">
        <v>14</v>
      </c>
    </row>
    <row r="2" spans="1:4" x14ac:dyDescent="0.25">
      <c r="A2" s="2" t="s">
        <v>85</v>
      </c>
      <c r="B2" s="2" t="s">
        <v>56</v>
      </c>
      <c r="C2" s="2" t="s">
        <v>165</v>
      </c>
      <c r="D2" t="s">
        <v>112</v>
      </c>
    </row>
    <row r="3" spans="1:4" x14ac:dyDescent="0.25">
      <c r="A3" s="2" t="s">
        <v>143</v>
      </c>
      <c r="B3" s="2" t="s">
        <v>22</v>
      </c>
      <c r="C3" s="2" t="s">
        <v>155</v>
      </c>
      <c r="D3" t="s">
        <v>144</v>
      </c>
    </row>
  </sheetData>
  <dataValidations count="3">
    <dataValidation type="list" allowBlank="1" showInputMessage="1" showErrorMessage="1" sqref="C1:C1048560" xr:uid="{E823094D-1E42-4F51-8033-3A264A5DE976}">
      <formula1>AppsInScope</formula1>
    </dataValidation>
    <dataValidation type="list" allowBlank="1" showInputMessage="1" showErrorMessage="1" sqref="A2:A1048560" xr:uid="{9189809D-C7FD-4E06-AD86-66E608C061AB}">
      <formula1>Actors</formula1>
    </dataValidation>
    <dataValidation type="list" allowBlank="1" showInputMessage="1" showErrorMessage="1" sqref="B2:B1048560" xr:uid="{93C05FD1-A2E5-42E2-825B-BB1E66C35125}">
      <formula1>ActorActions</formula1>
    </dataValidation>
  </dataValidations>
  <pageMargins left="0.7" right="0.7" top="0.75" bottom="0.75" header="0.3" footer="0.3"/>
  <pageSetup orientation="portrait" horizontalDpi="90"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F477-46CA-4DE1-834E-E3C9B09E81D7}">
  <sheetPr codeName="Sheet5">
    <tabColor theme="9"/>
  </sheetPr>
  <dimension ref="A1:E6"/>
  <sheetViews>
    <sheetView workbookViewId="0">
      <pane ySplit="1" topLeftCell="A2" activePane="bottomLeft" state="frozen"/>
      <selection pane="bottomLeft" activeCell="L28" sqref="L28"/>
    </sheetView>
  </sheetViews>
  <sheetFormatPr defaultRowHeight="15" x14ac:dyDescent="0.25"/>
  <cols>
    <col min="1" max="2" width="28.5703125" style="2" customWidth="1"/>
    <col min="3" max="3" width="13.85546875" style="2" bestFit="1" customWidth="1"/>
    <col min="4" max="4" width="16.5703125" style="2" bestFit="1" customWidth="1"/>
    <col min="5" max="5" width="42.85546875" customWidth="1"/>
    <col min="8" max="8" width="12.42578125" bestFit="1" customWidth="1"/>
    <col min="9" max="9" width="11.140625" bestFit="1" customWidth="1"/>
  </cols>
  <sheetData>
    <row r="1" spans="1:5" s="1" customFormat="1" x14ac:dyDescent="0.25">
      <c r="A1" s="1" t="s">
        <v>8</v>
      </c>
      <c r="B1" s="1" t="s">
        <v>9</v>
      </c>
      <c r="C1" s="1" t="s">
        <v>13</v>
      </c>
      <c r="D1" s="1" t="s">
        <v>10</v>
      </c>
      <c r="E1" s="1" t="s">
        <v>14</v>
      </c>
    </row>
    <row r="2" spans="1:5" x14ac:dyDescent="0.25">
      <c r="A2" s="2" t="s">
        <v>87</v>
      </c>
      <c r="B2" s="2" t="s">
        <v>155</v>
      </c>
      <c r="C2" s="2" t="s">
        <v>2</v>
      </c>
      <c r="D2" s="2" t="s">
        <v>107</v>
      </c>
      <c r="E2" t="s">
        <v>96</v>
      </c>
    </row>
    <row r="3" spans="1:5" x14ac:dyDescent="0.25">
      <c r="A3" s="2" t="s">
        <v>155</v>
      </c>
      <c r="B3" s="2" t="s">
        <v>43</v>
      </c>
      <c r="C3" s="2" t="s">
        <v>43</v>
      </c>
      <c r="D3" s="2" t="s">
        <v>107</v>
      </c>
      <c r="E3" t="s">
        <v>117</v>
      </c>
    </row>
    <row r="4" spans="1:5" x14ac:dyDescent="0.25">
      <c r="A4" s="2" t="s">
        <v>43</v>
      </c>
      <c r="B4" s="2" t="s">
        <v>120</v>
      </c>
      <c r="C4" s="2" t="s">
        <v>33</v>
      </c>
      <c r="D4" s="2" t="s">
        <v>107</v>
      </c>
      <c r="E4" t="s">
        <v>117</v>
      </c>
    </row>
    <row r="5" spans="1:5" x14ac:dyDescent="0.25">
      <c r="A5" s="2" t="s">
        <v>120</v>
      </c>
      <c r="B5" s="2" t="s">
        <v>82</v>
      </c>
      <c r="C5" s="2" t="s">
        <v>40</v>
      </c>
      <c r="D5" s="2" t="s">
        <v>28</v>
      </c>
      <c r="E5" t="s">
        <v>100</v>
      </c>
    </row>
    <row r="6" spans="1:5" x14ac:dyDescent="0.25">
      <c r="A6" s="2" t="s">
        <v>82</v>
      </c>
      <c r="B6" s="2" t="s">
        <v>165</v>
      </c>
      <c r="C6" s="2" t="s">
        <v>40</v>
      </c>
      <c r="D6" s="2" t="s">
        <v>28</v>
      </c>
      <c r="E6" t="s">
        <v>99</v>
      </c>
    </row>
  </sheetData>
  <dataValidations count="3">
    <dataValidation type="list" allowBlank="1" showInputMessage="1" showErrorMessage="1" sqref="A2:B1048558" xr:uid="{EF72FFAB-96B6-4015-896F-F95A8EC54D8D}">
      <formula1>AppsInScope</formula1>
    </dataValidation>
    <dataValidation type="list" allowBlank="1" showInputMessage="1" showErrorMessage="1" sqref="C2:C1048558" xr:uid="{C44AF923-7D9A-4264-A5D7-1EF5BDA535CA}">
      <formula1>Via</formula1>
    </dataValidation>
    <dataValidation type="list" allowBlank="1" showInputMessage="1" showErrorMessage="1" sqref="D2:D1048558" xr:uid="{E4E1E810-CB56-4970-B354-705928A86D25}">
      <formula1>INDIRECT(SUBSTITUTE($C2," ",""))</formula1>
    </dataValidation>
  </dataValidations>
  <pageMargins left="0.7" right="0.7" top="0.75" bottom="0.75" header="0.3" footer="0.3"/>
  <pageSetup orientation="portrait" horizontalDpi="90" verticalDpi="9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94E8-68D8-43E1-B72D-58940B033E58}">
  <sheetPr codeName="Sheet6">
    <tabColor theme="9"/>
  </sheetPr>
  <dimension ref="A1:E3"/>
  <sheetViews>
    <sheetView workbookViewId="0">
      <pane ySplit="1" topLeftCell="A2" activePane="bottomLeft" state="frozen"/>
      <selection pane="bottomLeft" activeCell="J10" sqref="J10"/>
    </sheetView>
  </sheetViews>
  <sheetFormatPr defaultRowHeight="15" x14ac:dyDescent="0.25"/>
  <cols>
    <col min="1" max="1" width="28.5703125" style="2" customWidth="1"/>
    <col min="2" max="2" width="10" style="2" bestFit="1" customWidth="1"/>
    <col min="3" max="4" width="21.42578125" style="2" customWidth="1"/>
    <col min="5" max="5" width="42.85546875" customWidth="1"/>
  </cols>
  <sheetData>
    <row r="1" spans="1:5" s="1" customFormat="1" x14ac:dyDescent="0.25">
      <c r="A1" s="1" t="s">
        <v>8</v>
      </c>
      <c r="B1" s="1" t="s">
        <v>46</v>
      </c>
      <c r="C1" s="1" t="s">
        <v>17</v>
      </c>
      <c r="D1" s="1" t="s">
        <v>13</v>
      </c>
      <c r="E1" t="s">
        <v>14</v>
      </c>
    </row>
    <row r="2" spans="1:5" x14ac:dyDescent="0.25">
      <c r="A2" s="2" t="s">
        <v>155</v>
      </c>
      <c r="B2" s="2" t="s">
        <v>22</v>
      </c>
      <c r="C2" s="2" t="s">
        <v>116</v>
      </c>
      <c r="D2" s="2" t="s">
        <v>135</v>
      </c>
      <c r="E2" t="s">
        <v>151</v>
      </c>
    </row>
    <row r="3" spans="1:5" x14ac:dyDescent="0.25">
      <c r="A3" s="2" t="s">
        <v>155</v>
      </c>
      <c r="B3" s="2" t="s">
        <v>23</v>
      </c>
      <c r="C3" s="2" t="s">
        <v>116</v>
      </c>
      <c r="D3" s="2" t="s">
        <v>136</v>
      </c>
      <c r="E3" t="s">
        <v>152</v>
      </c>
    </row>
  </sheetData>
  <dataValidations count="4">
    <dataValidation type="list" allowBlank="1" showInputMessage="1" showErrorMessage="1" sqref="B1 A1:A1048523" xr:uid="{90F3BF67-D3B4-4763-B1D7-3285F079F330}">
      <formula1>AppsInScope</formula1>
    </dataValidation>
    <dataValidation type="list" allowBlank="1" showInputMessage="1" showErrorMessage="1" sqref="C1:C1048523" xr:uid="{E4A65C05-8807-467D-8BE5-8A7BC2CAB903}">
      <formula1>DataStores</formula1>
    </dataValidation>
    <dataValidation type="list" allowBlank="1" showInputMessage="1" showErrorMessage="1" sqref="B2:B1048523" xr:uid="{2D3B32E1-6C91-4EBA-98AA-26B74F8EB13F}">
      <formula1>DataStoreActions</formula1>
    </dataValidation>
    <dataValidation type="list" allowBlank="1" showInputMessage="1" showErrorMessage="1" sqref="D1:D1048523" xr:uid="{0E65AC1E-1EEC-4C52-9D59-A31A84787FD4}">
      <formula1>INDIRECT(VLOOKUP($C1,DataStoreToType,2,FALSE))</formula1>
    </dataValidation>
  </dataValidations>
  <pageMargins left="0.7" right="0.7" top="0.75" bottom="0.75" header="0.3" footer="0.3"/>
  <pageSetup orientation="portrait" horizontalDpi="90" verticalDpi="90"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3332-8C19-43E5-AF06-6545DD0B86A3}">
  <sheetPr codeName="Sheet8">
    <tabColor theme="7"/>
  </sheetPr>
  <dimension ref="A1:E24"/>
  <sheetViews>
    <sheetView zoomScale="106" zoomScaleNormal="106" workbookViewId="0">
      <pane ySplit="1" topLeftCell="A2" activePane="bottomLeft" state="frozen"/>
      <selection pane="bottomLeft" activeCell="D12" sqref="D12"/>
    </sheetView>
  </sheetViews>
  <sheetFormatPr defaultRowHeight="15" x14ac:dyDescent="0.25"/>
  <cols>
    <col min="1" max="1" width="29.140625" style="6" bestFit="1" customWidth="1"/>
    <col min="2" max="2" width="10.28515625" style="6" bestFit="1" customWidth="1"/>
    <col min="3" max="3" width="18.85546875" style="6" bestFit="1" customWidth="1"/>
    <col min="4" max="4" width="89.85546875" style="4" customWidth="1"/>
    <col min="5" max="5" width="51.7109375" style="6" bestFit="1" customWidth="1"/>
    <col min="6" max="16384" width="9.140625" style="6"/>
  </cols>
  <sheetData>
    <row r="1" spans="1:5" s="3" customFormat="1" x14ac:dyDescent="0.25">
      <c r="A1" s="3" t="s">
        <v>8</v>
      </c>
      <c r="B1" s="3" t="s">
        <v>0</v>
      </c>
      <c r="C1" s="3" t="s">
        <v>11</v>
      </c>
      <c r="D1" s="17" t="s">
        <v>1</v>
      </c>
      <c r="E1" s="3" t="s">
        <v>185</v>
      </c>
    </row>
    <row r="2" spans="1:5" ht="45" x14ac:dyDescent="0.25">
      <c r="A2" s="6" t="s">
        <v>65</v>
      </c>
      <c r="B2" s="6" t="s">
        <v>68</v>
      </c>
      <c r="C2" s="6" t="s">
        <v>114</v>
      </c>
      <c r="D2" s="4" t="s">
        <v>145</v>
      </c>
    </row>
    <row r="3" spans="1:5" ht="30" x14ac:dyDescent="0.25">
      <c r="A3" s="6" t="s">
        <v>67</v>
      </c>
      <c r="B3" s="6" t="s">
        <v>69</v>
      </c>
      <c r="C3" s="6" t="s">
        <v>122</v>
      </c>
      <c r="D3" s="4" t="s">
        <v>154</v>
      </c>
    </row>
    <row r="4" spans="1:5" ht="30" x14ac:dyDescent="0.25">
      <c r="A4" s="6" t="s">
        <v>6</v>
      </c>
      <c r="B4" s="6" t="s">
        <v>70</v>
      </c>
      <c r="C4" s="6" t="s">
        <v>123</v>
      </c>
      <c r="D4" s="4" t="s">
        <v>158</v>
      </c>
    </row>
    <row r="5" spans="1:5" ht="30" x14ac:dyDescent="0.25">
      <c r="A5" s="6" t="s">
        <v>155</v>
      </c>
      <c r="B5" s="6" t="s">
        <v>84</v>
      </c>
      <c r="C5" s="6" t="s">
        <v>122</v>
      </c>
      <c r="D5" s="4" t="s">
        <v>156</v>
      </c>
    </row>
    <row r="6" spans="1:5" ht="30" x14ac:dyDescent="0.25">
      <c r="A6" s="6" t="s">
        <v>87</v>
      </c>
      <c r="B6" s="6" t="s">
        <v>71</v>
      </c>
      <c r="C6" s="6" t="s">
        <v>122</v>
      </c>
      <c r="D6" s="4" t="s">
        <v>157</v>
      </c>
    </row>
    <row r="7" spans="1:5" ht="45" x14ac:dyDescent="0.25">
      <c r="A7" s="6" t="s">
        <v>127</v>
      </c>
      <c r="B7" s="6" t="s">
        <v>72</v>
      </c>
      <c r="C7" s="6" t="s">
        <v>118</v>
      </c>
      <c r="D7" s="4" t="s">
        <v>98</v>
      </c>
    </row>
    <row r="8" spans="1:5" ht="30" x14ac:dyDescent="0.25">
      <c r="A8" s="6" t="s">
        <v>57</v>
      </c>
      <c r="B8" s="6" t="s">
        <v>73</v>
      </c>
      <c r="C8" s="6" t="s">
        <v>122</v>
      </c>
      <c r="D8" s="4" t="s">
        <v>66</v>
      </c>
    </row>
    <row r="9" spans="1:5" ht="30" x14ac:dyDescent="0.25">
      <c r="A9" s="6" t="s">
        <v>64</v>
      </c>
      <c r="B9" s="6" t="s">
        <v>74</v>
      </c>
      <c r="C9" s="6" t="s">
        <v>122</v>
      </c>
      <c r="D9" s="4" t="s">
        <v>146</v>
      </c>
    </row>
    <row r="10" spans="1:5" ht="30" x14ac:dyDescent="0.25">
      <c r="A10" s="6" t="s">
        <v>7</v>
      </c>
      <c r="B10" s="6" t="s">
        <v>75</v>
      </c>
      <c r="C10" s="6" t="s">
        <v>123</v>
      </c>
      <c r="D10" s="4" t="s">
        <v>147</v>
      </c>
    </row>
    <row r="11" spans="1:5" ht="30" x14ac:dyDescent="0.25">
      <c r="A11" s="6" t="s">
        <v>165</v>
      </c>
      <c r="B11" s="6" t="s">
        <v>81</v>
      </c>
      <c r="C11" s="6" t="s">
        <v>189</v>
      </c>
      <c r="D11" s="4" t="s">
        <v>166</v>
      </c>
    </row>
    <row r="12" spans="1:5" ht="30" x14ac:dyDescent="0.25">
      <c r="A12" s="6" t="s">
        <v>4</v>
      </c>
      <c r="B12" s="6" t="s">
        <v>76</v>
      </c>
      <c r="C12" s="6" t="s">
        <v>123</v>
      </c>
      <c r="D12" s="4" t="s">
        <v>159</v>
      </c>
    </row>
    <row r="13" spans="1:5" ht="45" x14ac:dyDescent="0.25">
      <c r="A13" s="6" t="s">
        <v>3</v>
      </c>
      <c r="B13" s="6" t="s">
        <v>77</v>
      </c>
      <c r="C13" s="6" t="s">
        <v>114</v>
      </c>
      <c r="D13" s="4" t="s">
        <v>148</v>
      </c>
    </row>
    <row r="14" spans="1:5" ht="30" x14ac:dyDescent="0.25">
      <c r="A14" s="6" t="s">
        <v>43</v>
      </c>
      <c r="B14" s="6" t="s">
        <v>78</v>
      </c>
      <c r="C14" s="6" t="s">
        <v>114</v>
      </c>
      <c r="D14" s="4" t="s">
        <v>149</v>
      </c>
    </row>
    <row r="15" spans="1:5" ht="30" x14ac:dyDescent="0.25">
      <c r="A15" s="6" t="s">
        <v>92</v>
      </c>
      <c r="B15" s="6" t="s">
        <v>79</v>
      </c>
      <c r="C15" s="6" t="s">
        <v>124</v>
      </c>
      <c r="D15" s="4" t="s">
        <v>93</v>
      </c>
    </row>
    <row r="16" spans="1:5" ht="30" x14ac:dyDescent="0.25">
      <c r="A16" s="6" t="s">
        <v>82</v>
      </c>
      <c r="B16" s="6" t="s">
        <v>80</v>
      </c>
      <c r="C16" s="6" t="s">
        <v>114</v>
      </c>
      <c r="D16" s="4" t="s">
        <v>160</v>
      </c>
    </row>
    <row r="17" spans="1:5" ht="45" x14ac:dyDescent="0.25">
      <c r="A17" s="16" t="s">
        <v>120</v>
      </c>
      <c r="B17" s="6" t="s">
        <v>91</v>
      </c>
      <c r="C17" s="6" t="s">
        <v>118</v>
      </c>
      <c r="D17" s="18" t="s">
        <v>162</v>
      </c>
    </row>
    <row r="18" spans="1:5" ht="30" x14ac:dyDescent="0.25">
      <c r="A18" s="6" t="s">
        <v>5</v>
      </c>
      <c r="B18" s="6" t="s">
        <v>83</v>
      </c>
      <c r="C18" s="6" t="s">
        <v>122</v>
      </c>
      <c r="D18" s="4" t="s">
        <v>161</v>
      </c>
    </row>
    <row r="19" spans="1:5" s="16" customFormat="1" ht="30" x14ac:dyDescent="0.25">
      <c r="A19" s="6" t="s">
        <v>42</v>
      </c>
      <c r="B19" s="6" t="s">
        <v>88</v>
      </c>
      <c r="C19" s="6" t="s">
        <v>114</v>
      </c>
      <c r="D19" s="4" t="s">
        <v>150</v>
      </c>
    </row>
    <row r="20" spans="1:5" s="16" customFormat="1" ht="45" x14ac:dyDescent="0.25">
      <c r="A20" s="6" t="s">
        <v>121</v>
      </c>
      <c r="B20" s="6" t="s">
        <v>94</v>
      </c>
      <c r="C20" s="6" t="s">
        <v>118</v>
      </c>
      <c r="D20" s="4" t="s">
        <v>174</v>
      </c>
    </row>
    <row r="21" spans="1:5" s="7" customFormat="1" ht="30" x14ac:dyDescent="0.25">
      <c r="A21" s="6" t="s">
        <v>90</v>
      </c>
      <c r="B21" s="6" t="s">
        <v>97</v>
      </c>
      <c r="C21" s="6" t="s">
        <v>189</v>
      </c>
      <c r="D21" s="4" t="s">
        <v>163</v>
      </c>
    </row>
    <row r="22" spans="1:5" ht="30" x14ac:dyDescent="0.25">
      <c r="A22" s="6" t="s">
        <v>176</v>
      </c>
      <c r="B22" s="6" t="s">
        <v>178</v>
      </c>
      <c r="C22" s="6" t="s">
        <v>123</v>
      </c>
      <c r="D22" s="4" t="s">
        <v>182</v>
      </c>
      <c r="E22" s="21" t="s">
        <v>184</v>
      </c>
    </row>
    <row r="23" spans="1:5" ht="45" x14ac:dyDescent="0.25">
      <c r="A23" s="6" t="s">
        <v>177</v>
      </c>
      <c r="B23" s="6" t="s">
        <v>179</v>
      </c>
      <c r="C23" s="6" t="s">
        <v>189</v>
      </c>
      <c r="D23" s="4" t="s">
        <v>181</v>
      </c>
      <c r="E23" s="21" t="s">
        <v>186</v>
      </c>
    </row>
    <row r="24" spans="1:5" ht="30" x14ac:dyDescent="0.25">
      <c r="A24" s="6" t="s">
        <v>175</v>
      </c>
      <c r="B24" s="6" t="s">
        <v>180</v>
      </c>
      <c r="C24" s="6" t="s">
        <v>189</v>
      </c>
      <c r="D24" s="4" t="s">
        <v>183</v>
      </c>
      <c r="E24" s="21" t="s">
        <v>187</v>
      </c>
    </row>
  </sheetData>
  <sortState xmlns:xlrd2="http://schemas.microsoft.com/office/spreadsheetml/2017/richdata2" ref="A3:D20">
    <sortCondition ref="A3:A20"/>
  </sortState>
  <phoneticPr fontId="7" type="noConversion"/>
  <conditionalFormatting sqref="A1:A1048572">
    <cfRule type="duplicateValues" dxfId="1" priority="10"/>
  </conditionalFormatting>
  <conditionalFormatting sqref="D1:D1048572">
    <cfRule type="expression" dxfId="0" priority="1">
      <formula>LEN(D1) &gt; 255</formula>
    </cfRule>
  </conditionalFormatting>
  <dataValidations count="1">
    <dataValidation type="list" allowBlank="1" showInputMessage="1" showErrorMessage="1" sqref="C1:C1048572" xr:uid="{B9533816-C209-4EA0-8828-4619D26C260B}">
      <formula1>ApplicationTypes</formula1>
    </dataValidation>
  </dataValidations>
  <hyperlinks>
    <hyperlink ref="E22" r:id="rId1" xr:uid="{59B29AB4-FF94-4DFB-86F0-61EC23707CBF}"/>
    <hyperlink ref="E23" r:id="rId2" xr:uid="{76A0660A-9030-444B-9CF1-EF40AB98FEF1}"/>
    <hyperlink ref="E24" r:id="rId3" xr:uid="{4B5C99CD-7ADA-43EB-BDFB-48039EDABC8F}"/>
  </hyperlinks>
  <pageMargins left="0.7" right="0.7" top="0.75" bottom="0.75" header="0.3" footer="0.3"/>
  <pageSetup orientation="portrait" horizontalDpi="90" verticalDpi="90" r:id="rId4"/>
  <legacyDrawing r:id="rId5"/>
  <tableParts count="1">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1E18-905F-4E21-B88E-350DE1382F27}">
  <sheetPr codeName="Sheet7">
    <tabColor theme="7"/>
  </sheetPr>
  <dimension ref="B1:N55"/>
  <sheetViews>
    <sheetView workbookViewId="0">
      <pane ySplit="1" topLeftCell="A2" activePane="bottomLeft" state="frozen"/>
      <selection pane="bottomLeft" activeCell="N34" sqref="N34"/>
    </sheetView>
  </sheetViews>
  <sheetFormatPr defaultRowHeight="15" x14ac:dyDescent="0.25"/>
  <cols>
    <col min="1" max="1" width="2.85546875" customWidth="1"/>
    <col min="2" max="2" width="19.85546875" bestFit="1" customWidth="1"/>
    <col min="3" max="3" width="2.85546875" customWidth="1"/>
    <col min="4" max="4" width="16.85546875" bestFit="1" customWidth="1"/>
    <col min="5" max="5" width="2.85546875" customWidth="1"/>
    <col min="6" max="6" width="16.5703125" bestFit="1" customWidth="1"/>
    <col min="7" max="7" width="2.85546875" customWidth="1"/>
    <col min="8" max="8" width="17" customWidth="1"/>
    <col min="9" max="9" width="2.85546875" customWidth="1"/>
    <col min="10" max="10" width="18.42578125" customWidth="1"/>
    <col min="11" max="11" width="2.85546875" customWidth="1"/>
    <col min="12" max="12" width="18.42578125" customWidth="1"/>
    <col min="14" max="14" width="29.140625" bestFit="1" customWidth="1"/>
  </cols>
  <sheetData>
    <row r="1" spans="2:14" s="1" customFormat="1" x14ac:dyDescent="0.25">
      <c r="B1" s="12" t="s">
        <v>12</v>
      </c>
      <c r="D1" s="12" t="s">
        <v>25</v>
      </c>
      <c r="F1" s="12" t="s">
        <v>13</v>
      </c>
      <c r="H1" s="12" t="s">
        <v>45</v>
      </c>
      <c r="J1" s="12" t="s">
        <v>47</v>
      </c>
      <c r="L1" s="12" t="s">
        <v>55</v>
      </c>
      <c r="N1" s="1" t="s">
        <v>188</v>
      </c>
    </row>
    <row r="2" spans="2:14" x14ac:dyDescent="0.25">
      <c r="B2" s="10" t="s">
        <v>118</v>
      </c>
      <c r="D2" s="10" t="s">
        <v>119</v>
      </c>
      <c r="F2" s="13" t="s">
        <v>40</v>
      </c>
      <c r="H2" s="13" t="s">
        <v>20</v>
      </c>
      <c r="J2" s="10" t="s">
        <v>23</v>
      </c>
      <c r="L2" s="10" t="s">
        <v>23</v>
      </c>
      <c r="M2" s="1"/>
      <c r="N2" t="str" cm="1">
        <f t="array" ref="N2:N24">_xlfn._xlws.SORT(_xlfn.UNIQUE(_xlfn._xlws.FILTER(Application_Descriptions[Application Title], Application_Descriptions[Application Title]&lt;&gt;"")))</f>
        <v>API Gateway</v>
      </c>
    </row>
    <row r="3" spans="2:14" x14ac:dyDescent="0.25">
      <c r="B3" s="10" t="s">
        <v>123</v>
      </c>
      <c r="D3" s="10" t="s">
        <v>191</v>
      </c>
      <c r="F3" s="10" t="s">
        <v>65</v>
      </c>
      <c r="H3" s="10" t="s">
        <v>37</v>
      </c>
      <c r="J3" s="11" t="s">
        <v>22</v>
      </c>
      <c r="L3" s="10" t="s">
        <v>56</v>
      </c>
      <c r="N3" t="str">
        <v>B2C Website</v>
      </c>
    </row>
    <row r="4" spans="2:14" x14ac:dyDescent="0.25">
      <c r="B4" s="10" t="s">
        <v>122</v>
      </c>
      <c r="D4" s="10" t="s">
        <v>26</v>
      </c>
      <c r="F4" s="10" t="s">
        <v>20</v>
      </c>
      <c r="H4" s="10" t="s">
        <v>19</v>
      </c>
      <c r="L4" s="11" t="s">
        <v>22</v>
      </c>
      <c r="N4" t="str">
        <v>Chatbot</v>
      </c>
    </row>
    <row r="5" spans="2:14" x14ac:dyDescent="0.25">
      <c r="B5" s="10" t="s">
        <v>189</v>
      </c>
      <c r="D5" s="10" t="s">
        <v>190</v>
      </c>
      <c r="F5" s="10" t="s">
        <v>2</v>
      </c>
      <c r="H5" s="10" t="s">
        <v>132</v>
      </c>
      <c r="N5" t="str">
        <v>Consumer Notifications</v>
      </c>
    </row>
    <row r="6" spans="2:14" x14ac:dyDescent="0.25">
      <c r="B6" s="10" t="s">
        <v>124</v>
      </c>
      <c r="D6" s="10" t="s">
        <v>115</v>
      </c>
      <c r="F6" s="10" t="s">
        <v>49</v>
      </c>
      <c r="H6" s="10" t="s">
        <v>24</v>
      </c>
      <c r="N6" t="str">
        <v>Credit Application System</v>
      </c>
    </row>
    <row r="7" spans="2:14" x14ac:dyDescent="0.25">
      <c r="B7" s="14" t="s">
        <v>114</v>
      </c>
      <c r="D7" s="14" t="s">
        <v>129</v>
      </c>
      <c r="F7" s="10" t="s">
        <v>43</v>
      </c>
      <c r="H7" s="14" t="s">
        <v>192</v>
      </c>
      <c r="N7" t="str">
        <v>Credit Bureau Aggregator</v>
      </c>
    </row>
    <row r="8" spans="2:14" x14ac:dyDescent="0.25">
      <c r="F8" s="10" t="s">
        <v>33</v>
      </c>
      <c r="N8" t="str">
        <v>Data Warehouse</v>
      </c>
    </row>
    <row r="9" spans="2:14" x14ac:dyDescent="0.25">
      <c r="F9" s="10" t="s">
        <v>42</v>
      </c>
      <c r="H9" s="15" t="s">
        <v>20</v>
      </c>
      <c r="N9" t="str">
        <v>DataMarts</v>
      </c>
    </row>
    <row r="10" spans="2:14" x14ac:dyDescent="0.25">
      <c r="F10" s="14" t="s">
        <v>29</v>
      </c>
      <c r="H10" s="8" t="s">
        <v>59</v>
      </c>
      <c r="N10" t="str">
        <v>DevOps</v>
      </c>
    </row>
    <row r="11" spans="2:14" x14ac:dyDescent="0.25">
      <c r="H11" s="8" t="s">
        <v>21</v>
      </c>
      <c r="N11" t="str">
        <v>Email Client</v>
      </c>
    </row>
    <row r="12" spans="2:14" x14ac:dyDescent="0.25">
      <c r="F12" s="15" t="s">
        <v>40</v>
      </c>
      <c r="H12" s="8" t="s">
        <v>27</v>
      </c>
      <c r="N12" t="str">
        <v>Enterprise Content Manager</v>
      </c>
    </row>
    <row r="13" spans="2:14" x14ac:dyDescent="0.25">
      <c r="F13" s="8" t="s">
        <v>51</v>
      </c>
      <c r="H13" s="8" t="s">
        <v>61</v>
      </c>
      <c r="N13" t="str">
        <v>Enterprise Service Bus</v>
      </c>
    </row>
    <row r="14" spans="2:14" x14ac:dyDescent="0.25">
      <c r="F14" s="9" t="s">
        <v>28</v>
      </c>
      <c r="H14" s="8" t="s">
        <v>60</v>
      </c>
      <c r="N14" t="str">
        <v>Excel</v>
      </c>
    </row>
    <row r="15" spans="2:14" x14ac:dyDescent="0.25">
      <c r="H15" s="8" t="s">
        <v>62</v>
      </c>
      <c r="N15" t="str">
        <v>Excel to Graphviz</v>
      </c>
    </row>
    <row r="16" spans="2:14" x14ac:dyDescent="0.25">
      <c r="F16" s="15" t="s">
        <v>2</v>
      </c>
      <c r="H16" s="8" t="s">
        <v>63</v>
      </c>
      <c r="N16" t="str">
        <v>Forward Proxy</v>
      </c>
    </row>
    <row r="17" spans="6:14" x14ac:dyDescent="0.25">
      <c r="F17" s="8" t="s">
        <v>107</v>
      </c>
      <c r="H17" s="9" t="s">
        <v>58</v>
      </c>
      <c r="N17" t="str">
        <v>Graphviz</v>
      </c>
    </row>
    <row r="18" spans="6:14" x14ac:dyDescent="0.25">
      <c r="F18" s="8" t="s">
        <v>108</v>
      </c>
      <c r="N18" t="str">
        <v>Inventory Management System</v>
      </c>
    </row>
    <row r="19" spans="6:14" x14ac:dyDescent="0.25">
      <c r="F19" s="8" t="s">
        <v>39</v>
      </c>
      <c r="H19" s="15" t="s">
        <v>37</v>
      </c>
      <c r="N19" t="str">
        <v>Mail Relay</v>
      </c>
    </row>
    <row r="20" spans="6:14" x14ac:dyDescent="0.25">
      <c r="F20" s="9" t="s">
        <v>38</v>
      </c>
      <c r="H20" s="8" t="s">
        <v>137</v>
      </c>
      <c r="N20" t="str">
        <v>Marketing CRM</v>
      </c>
    </row>
    <row r="21" spans="6:14" x14ac:dyDescent="0.25">
      <c r="H21" s="9" t="s">
        <v>34</v>
      </c>
      <c r="N21" t="str">
        <v>Message Center</v>
      </c>
    </row>
    <row r="22" spans="6:14" x14ac:dyDescent="0.25">
      <c r="F22" s="15" t="s">
        <v>50</v>
      </c>
      <c r="N22" t="str">
        <v>Reverse Proxy</v>
      </c>
    </row>
    <row r="23" spans="6:14" x14ac:dyDescent="0.25">
      <c r="F23" s="8" t="s">
        <v>48</v>
      </c>
      <c r="H23" s="15" t="s">
        <v>132</v>
      </c>
      <c r="N23" t="str">
        <v>Service CRM</v>
      </c>
    </row>
    <row r="24" spans="6:14" x14ac:dyDescent="0.25">
      <c r="F24" s="8" t="s">
        <v>31</v>
      </c>
      <c r="H24" s="8" t="s">
        <v>133</v>
      </c>
      <c r="N24" t="str">
        <v>Web Browser</v>
      </c>
    </row>
    <row r="25" spans="6:14" x14ac:dyDescent="0.25">
      <c r="F25" s="8" t="s">
        <v>33</v>
      </c>
      <c r="H25" s="9" t="s">
        <v>134</v>
      </c>
    </row>
    <row r="26" spans="6:14" x14ac:dyDescent="0.25">
      <c r="F26" s="8" t="s">
        <v>35</v>
      </c>
    </row>
    <row r="27" spans="6:14" x14ac:dyDescent="0.25">
      <c r="F27" s="9" t="s">
        <v>32</v>
      </c>
      <c r="H27" s="15" t="s">
        <v>19</v>
      </c>
    </row>
    <row r="28" spans="6:14" x14ac:dyDescent="0.25">
      <c r="H28" s="8" t="s">
        <v>133</v>
      </c>
    </row>
    <row r="29" spans="6:14" x14ac:dyDescent="0.25">
      <c r="F29" s="15" t="s">
        <v>105</v>
      </c>
      <c r="H29" s="9" t="s">
        <v>134</v>
      </c>
    </row>
    <row r="30" spans="6:14" x14ac:dyDescent="0.25">
      <c r="F30" s="8" t="s">
        <v>107</v>
      </c>
    </row>
    <row r="31" spans="6:14" x14ac:dyDescent="0.25">
      <c r="F31" s="9" t="s">
        <v>108</v>
      </c>
      <c r="H31" s="15" t="s">
        <v>24</v>
      </c>
    </row>
    <row r="32" spans="6:14" x14ac:dyDescent="0.25">
      <c r="H32" s="8" t="s">
        <v>135</v>
      </c>
    </row>
    <row r="33" spans="6:8" x14ac:dyDescent="0.25">
      <c r="F33" s="15" t="s">
        <v>106</v>
      </c>
      <c r="H33" s="9" t="s">
        <v>136</v>
      </c>
    </row>
    <row r="34" spans="6:8" x14ac:dyDescent="0.25">
      <c r="F34" s="9" t="s">
        <v>101</v>
      </c>
    </row>
    <row r="35" spans="6:8" x14ac:dyDescent="0.25">
      <c r="F35" s="9" t="s">
        <v>102</v>
      </c>
      <c r="H35" s="15" t="s">
        <v>192</v>
      </c>
    </row>
    <row r="36" spans="6:8" x14ac:dyDescent="0.25">
      <c r="F36" s="9" t="s">
        <v>104</v>
      </c>
      <c r="H36" s="8" t="s">
        <v>193</v>
      </c>
    </row>
    <row r="37" spans="6:8" x14ac:dyDescent="0.25">
      <c r="F37" s="9" t="s">
        <v>33</v>
      </c>
      <c r="H37" s="8" t="s">
        <v>194</v>
      </c>
    </row>
    <row r="38" spans="6:8" x14ac:dyDescent="0.25">
      <c r="F38" s="9" t="s">
        <v>107</v>
      </c>
      <c r="H38" s="8" t="s">
        <v>195</v>
      </c>
    </row>
    <row r="39" spans="6:8" x14ac:dyDescent="0.25">
      <c r="F39" s="9" t="s">
        <v>108</v>
      </c>
      <c r="H39" s="8" t="s">
        <v>196</v>
      </c>
    </row>
    <row r="40" spans="6:8" x14ac:dyDescent="0.25">
      <c r="F40" s="9" t="s">
        <v>109</v>
      </c>
      <c r="H40" s="9" t="s">
        <v>197</v>
      </c>
    </row>
    <row r="41" spans="6:8" x14ac:dyDescent="0.25">
      <c r="F41" s="9" t="s">
        <v>103</v>
      </c>
    </row>
    <row r="43" spans="6:8" x14ac:dyDescent="0.25">
      <c r="F43" s="15" t="s">
        <v>44</v>
      </c>
    </row>
    <row r="44" spans="6:8" x14ac:dyDescent="0.25">
      <c r="F44" s="8" t="s">
        <v>107</v>
      </c>
    </row>
    <row r="45" spans="6:8" x14ac:dyDescent="0.25">
      <c r="F45" s="9" t="s">
        <v>108</v>
      </c>
    </row>
    <row r="47" spans="6:8" x14ac:dyDescent="0.25">
      <c r="F47" s="15" t="s">
        <v>29</v>
      </c>
    </row>
    <row r="48" spans="6:8" x14ac:dyDescent="0.25">
      <c r="F48" s="8" t="s">
        <v>41</v>
      </c>
    </row>
    <row r="49" spans="6:6" x14ac:dyDescent="0.25">
      <c r="F49" s="8" t="s">
        <v>30</v>
      </c>
    </row>
    <row r="50" spans="6:6" x14ac:dyDescent="0.25">
      <c r="F50" s="9" t="s">
        <v>36</v>
      </c>
    </row>
    <row r="52" spans="6:6" x14ac:dyDescent="0.25">
      <c r="F52" s="15" t="s">
        <v>33</v>
      </c>
    </row>
    <row r="53" spans="6:6" x14ac:dyDescent="0.25">
      <c r="F53" s="8" t="s">
        <v>110</v>
      </c>
    </row>
    <row r="54" spans="6:6" x14ac:dyDescent="0.25">
      <c r="F54" s="8" t="s">
        <v>111</v>
      </c>
    </row>
    <row r="55" spans="6:6" x14ac:dyDescent="0.25">
      <c r="F55" s="9" t="s">
        <v>107</v>
      </c>
    </row>
  </sheetData>
  <sortState xmlns:xlrd2="http://schemas.microsoft.com/office/spreadsheetml/2017/richdata2" ref="D2:D7">
    <sortCondition ref="D2:D7"/>
  </sortState>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27</vt:i4>
      </vt:variant>
    </vt:vector>
  </HeadingPairs>
  <TitlesOfParts>
    <vt:vector size="37" baseType="lpstr">
      <vt:lpstr>Options</vt:lpstr>
      <vt:lpstr>Actors</vt:lpstr>
      <vt:lpstr>Applications</vt:lpstr>
      <vt:lpstr>Data Stores</vt:lpstr>
      <vt:lpstr>Notes</vt:lpstr>
      <vt:lpstr>Actor to Application</vt:lpstr>
      <vt:lpstr>Application to Application</vt:lpstr>
      <vt:lpstr>Application to Data Store</vt:lpstr>
      <vt:lpstr>Application Descriptions</vt:lpstr>
      <vt:lpstr>Lists</vt:lpstr>
      <vt:lpstr>ActorActions</vt:lpstr>
      <vt:lpstr>Actors</vt:lpstr>
      <vt:lpstr>ActorTypes</vt:lpstr>
      <vt:lpstr>APIGateway</vt:lpstr>
      <vt:lpstr>ApplicationTypes</vt:lpstr>
      <vt:lpstr>AppsInScope</vt:lpstr>
      <vt:lpstr>AppTitles</vt:lpstr>
      <vt:lpstr>Database</vt:lpstr>
      <vt:lpstr>DataStoreActions</vt:lpstr>
      <vt:lpstr>DataStores</vt:lpstr>
      <vt:lpstr>Notes!DataStoreToType</vt:lpstr>
      <vt:lpstr>DataStoreToType</vt:lpstr>
      <vt:lpstr>DataStoreTypes</vt:lpstr>
      <vt:lpstr>Directory</vt:lpstr>
      <vt:lpstr>Email</vt:lpstr>
      <vt:lpstr>ESB</vt:lpstr>
      <vt:lpstr>File</vt:lpstr>
      <vt:lpstr>FileTransfer</vt:lpstr>
      <vt:lpstr>Folder</vt:lpstr>
      <vt:lpstr>ForwardProxy</vt:lpstr>
      <vt:lpstr>HTTPS</vt:lpstr>
      <vt:lpstr>Queue</vt:lpstr>
      <vt:lpstr>Repository</vt:lpstr>
      <vt:lpstr>ReverseProxy</vt:lpstr>
      <vt:lpstr>SortedAppList</vt:lpstr>
      <vt:lpstr>Telephony</vt:lpstr>
      <vt:lpstr>Via</vt:lpstr>
    </vt:vector>
  </TitlesOfParts>
  <Company>Daimler AG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Jeffrey (525)</dc:creator>
  <cp:lastModifiedBy>Jeffrey Long</cp:lastModifiedBy>
  <dcterms:created xsi:type="dcterms:W3CDTF">2023-10-19T15:36:14Z</dcterms:created>
  <dcterms:modified xsi:type="dcterms:W3CDTF">2026-02-17T21:32:33Z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2023-10-19T15:36:15Z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f091a598-d8c0-49e8-86fd-65d416aeeb6a</vt:lpwstr>
  </property>
  <property fmtid="{D5CDD505-2E9C-101B-9397-08002B2CF9AE}" pid="8" name="MSIP_Label_924dbb1d-991d-4bbd-aad5-33bac1d8ffaf_ContentBits">
    <vt:lpwstr>0</vt:lpwstr>
  </property>
</Properties>
</file>