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local\github\excel-to-graphviz-examples\the-beatles-dot\"/>
    </mc:Choice>
  </mc:AlternateContent>
  <xr:revisionPtr revIDLastSave="0" documentId="13_ncr:1_{2247E72E-7BEC-4A33-86F7-1573B98F95FB}" xr6:coauthVersionLast="47" xr6:coauthVersionMax="47" xr10:uidLastSave="{00000000-0000-0000-0000-000000000000}"/>
  <bookViews>
    <workbookView xWindow="28680" yWindow="-120" windowWidth="29040" windowHeight="15720" activeTab="1" xr2:uid="{ECB05786-49E9-4659-AC54-820ABFCF1EDF}"/>
  </bookViews>
  <sheets>
    <sheet name="releases" sheetId="1" r:id="rId1"/>
    <sheet name="release-to-song" sheetId="3" r:id="rId2"/>
    <sheet name="canonical" sheetId="2" r:id="rId3"/>
    <sheet name="canonical_song" sheetId="5" r:id="rId4"/>
  </sheets>
  <definedNames>
    <definedName name="_xlnm._FilterDatabase" localSheetId="1" hidden="1">'release-to-song'!$A$1:$H$581</definedName>
    <definedName name="canonical_album">canonical!$A$2:$D$13</definedName>
    <definedName name="releases">releases!$A$2:$H$42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3" i="3" l="1"/>
  <c r="G523" i="3"/>
  <c r="F523" i="3"/>
  <c r="E523" i="3"/>
  <c r="H522" i="3"/>
  <c r="G522" i="3"/>
  <c r="F522" i="3"/>
  <c r="E522" i="3"/>
  <c r="H521" i="3"/>
  <c r="G521" i="3"/>
  <c r="F521" i="3"/>
  <c r="E521" i="3"/>
  <c r="H520" i="3"/>
  <c r="G520" i="3"/>
  <c r="F520" i="3"/>
  <c r="E520" i="3"/>
  <c r="H519" i="3"/>
  <c r="G519" i="3"/>
  <c r="F519" i="3"/>
  <c r="E519" i="3"/>
  <c r="H518" i="3"/>
  <c r="G518" i="3"/>
  <c r="F518" i="3"/>
  <c r="E518" i="3"/>
  <c r="H517" i="3"/>
  <c r="G517" i="3"/>
  <c r="F517" i="3"/>
  <c r="E517" i="3"/>
  <c r="H516" i="3"/>
  <c r="G516" i="3"/>
  <c r="F516" i="3"/>
  <c r="E516" i="3"/>
  <c r="H515" i="3"/>
  <c r="G515" i="3"/>
  <c r="F515" i="3"/>
  <c r="E515" i="3"/>
  <c r="H514" i="3"/>
  <c r="G514" i="3"/>
  <c r="F514" i="3"/>
  <c r="E514" i="3"/>
  <c r="H513" i="3"/>
  <c r="G513" i="3"/>
  <c r="F513" i="3"/>
  <c r="E513" i="3"/>
  <c r="H512" i="3"/>
  <c r="G512" i="3"/>
  <c r="F512" i="3"/>
  <c r="E512" i="3"/>
  <c r="H511" i="3"/>
  <c r="G511" i="3"/>
  <c r="F511" i="3"/>
  <c r="E511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2" i="1"/>
  <c r="G2" i="3"/>
  <c r="G30" i="3"/>
  <c r="G40" i="3"/>
  <c r="G17" i="3"/>
  <c r="G3" i="3"/>
  <c r="G31" i="3"/>
  <c r="G41" i="3"/>
  <c r="G18" i="3"/>
  <c r="G4" i="3"/>
  <c r="G32" i="3"/>
  <c r="G42" i="3"/>
  <c r="G19" i="3"/>
  <c r="G5" i="3"/>
  <c r="G33" i="3"/>
  <c r="G43" i="3"/>
  <c r="G20" i="3"/>
  <c r="G6" i="3"/>
  <c r="G34" i="3"/>
  <c r="G44" i="3"/>
  <c r="G21" i="3"/>
  <c r="G7" i="3"/>
  <c r="G35" i="3"/>
  <c r="G45" i="3"/>
  <c r="G22" i="3"/>
  <c r="G8" i="3"/>
  <c r="G36" i="3"/>
  <c r="G46" i="3"/>
  <c r="G23" i="3"/>
  <c r="G9" i="3"/>
  <c r="G37" i="3"/>
  <c r="G47" i="3"/>
  <c r="G24" i="3"/>
  <c r="G10" i="3"/>
  <c r="G38" i="3"/>
  <c r="G48" i="3"/>
  <c r="G25" i="3"/>
  <c r="G11" i="3"/>
  <c r="G39" i="3"/>
  <c r="G49" i="3"/>
  <c r="G26" i="3"/>
  <c r="G12" i="3"/>
  <c r="G27" i="3"/>
  <c r="G13" i="3"/>
  <c r="G28" i="3"/>
  <c r="G14" i="3"/>
  <c r="G29" i="3"/>
  <c r="G15" i="3"/>
  <c r="G88" i="3"/>
  <c r="G74" i="3"/>
  <c r="G62" i="3"/>
  <c r="G50" i="3"/>
  <c r="G89" i="3"/>
  <c r="G75" i="3"/>
  <c r="G63" i="3"/>
  <c r="G51" i="3"/>
  <c r="G90" i="3"/>
  <c r="G76" i="3"/>
  <c r="G64" i="3"/>
  <c r="G52" i="3"/>
  <c r="G91" i="3"/>
  <c r="G77" i="3"/>
  <c r="G65" i="3"/>
  <c r="G53" i="3"/>
  <c r="G92" i="3"/>
  <c r="G78" i="3"/>
  <c r="G66" i="3"/>
  <c r="G54" i="3"/>
  <c r="G93" i="3"/>
  <c r="G79" i="3"/>
  <c r="G67" i="3"/>
  <c r="G55" i="3"/>
  <c r="G94" i="3"/>
  <c r="G80" i="3"/>
  <c r="G68" i="3"/>
  <c r="G56" i="3"/>
  <c r="G95" i="3"/>
  <c r="G81" i="3"/>
  <c r="G69" i="3"/>
  <c r="G57" i="3"/>
  <c r="G96" i="3"/>
  <c r="G82" i="3"/>
  <c r="G70" i="3"/>
  <c r="G58" i="3"/>
  <c r="G97" i="3"/>
  <c r="G83" i="3"/>
  <c r="G71" i="3"/>
  <c r="G59" i="3"/>
  <c r="G98" i="3"/>
  <c r="G84" i="3"/>
  <c r="G72" i="3"/>
  <c r="G60" i="3"/>
  <c r="G99" i="3"/>
  <c r="G85" i="3"/>
  <c r="G73" i="3"/>
  <c r="G61" i="3"/>
  <c r="G100" i="3"/>
  <c r="G86" i="3"/>
  <c r="G101" i="3"/>
  <c r="G87" i="3"/>
  <c r="G115" i="3"/>
  <c r="G102" i="3"/>
  <c r="G128" i="3"/>
  <c r="G140" i="3"/>
  <c r="G116" i="3"/>
  <c r="G103" i="3"/>
  <c r="G129" i="3"/>
  <c r="G141" i="3"/>
  <c r="G117" i="3"/>
  <c r="G104" i="3"/>
  <c r="G130" i="3"/>
  <c r="G142" i="3"/>
  <c r="G118" i="3"/>
  <c r="G105" i="3"/>
  <c r="G131" i="3"/>
  <c r="G143" i="3"/>
  <c r="G119" i="3"/>
  <c r="G106" i="3"/>
  <c r="G132" i="3"/>
  <c r="G144" i="3"/>
  <c r="G120" i="3"/>
  <c r="G107" i="3"/>
  <c r="G133" i="3"/>
  <c r="G145" i="3"/>
  <c r="G121" i="3"/>
  <c r="G108" i="3"/>
  <c r="G134" i="3"/>
  <c r="G146" i="3"/>
  <c r="G122" i="3"/>
  <c r="G109" i="3"/>
  <c r="G135" i="3"/>
  <c r="G147" i="3"/>
  <c r="G123" i="3"/>
  <c r="G110" i="3"/>
  <c r="G136" i="3"/>
  <c r="G148" i="3"/>
  <c r="G124" i="3"/>
  <c r="G111" i="3"/>
  <c r="G137" i="3"/>
  <c r="G149" i="3"/>
  <c r="G125" i="3"/>
  <c r="G112" i="3"/>
  <c r="G138" i="3"/>
  <c r="G150" i="3"/>
  <c r="G126" i="3"/>
  <c r="G113" i="3"/>
  <c r="G139" i="3"/>
  <c r="G151" i="3"/>
  <c r="G127" i="3"/>
  <c r="G114" i="3"/>
  <c r="G188" i="3"/>
  <c r="G174" i="3"/>
  <c r="G163" i="3"/>
  <c r="G152" i="3"/>
  <c r="G189" i="3"/>
  <c r="G175" i="3"/>
  <c r="G164" i="3"/>
  <c r="G153" i="3"/>
  <c r="G190" i="3"/>
  <c r="G176" i="3"/>
  <c r="G165" i="3"/>
  <c r="G154" i="3"/>
  <c r="G191" i="3"/>
  <c r="G177" i="3"/>
  <c r="G166" i="3"/>
  <c r="G155" i="3"/>
  <c r="G192" i="3"/>
  <c r="G178" i="3"/>
  <c r="G167" i="3"/>
  <c r="G156" i="3"/>
  <c r="G193" i="3"/>
  <c r="G179" i="3"/>
  <c r="G168" i="3"/>
  <c r="G157" i="3"/>
  <c r="G194" i="3"/>
  <c r="G180" i="3"/>
  <c r="G169" i="3"/>
  <c r="G158" i="3"/>
  <c r="G195" i="3"/>
  <c r="G181" i="3"/>
  <c r="G170" i="3"/>
  <c r="G159" i="3"/>
  <c r="G196" i="3"/>
  <c r="G182" i="3"/>
  <c r="G171" i="3"/>
  <c r="G160" i="3"/>
  <c r="G197" i="3"/>
  <c r="G183" i="3"/>
  <c r="G172" i="3"/>
  <c r="G161" i="3"/>
  <c r="G198" i="3"/>
  <c r="G184" i="3"/>
  <c r="G173" i="3"/>
  <c r="G162" i="3"/>
  <c r="G199" i="3"/>
  <c r="G185" i="3"/>
  <c r="G200" i="3"/>
  <c r="G186" i="3"/>
  <c r="G201" i="3"/>
  <c r="G187" i="3"/>
  <c r="G240" i="3"/>
  <c r="G226" i="3"/>
  <c r="G202" i="3"/>
  <c r="G214" i="3"/>
  <c r="G241" i="3"/>
  <c r="G227" i="3"/>
  <c r="G203" i="3"/>
  <c r="G215" i="3"/>
  <c r="G242" i="3"/>
  <c r="G228" i="3"/>
  <c r="G204" i="3"/>
  <c r="G216" i="3"/>
  <c r="G243" i="3"/>
  <c r="G229" i="3"/>
  <c r="G205" i="3"/>
  <c r="G217" i="3"/>
  <c r="G244" i="3"/>
  <c r="G230" i="3"/>
  <c r="G206" i="3"/>
  <c r="G218" i="3"/>
  <c r="G245" i="3"/>
  <c r="G231" i="3"/>
  <c r="G207" i="3"/>
  <c r="G219" i="3"/>
  <c r="G246" i="3"/>
  <c r="G232" i="3"/>
  <c r="G208" i="3"/>
  <c r="G220" i="3"/>
  <c r="G247" i="3"/>
  <c r="G233" i="3"/>
  <c r="G209" i="3"/>
  <c r="G221" i="3"/>
  <c r="G248" i="3"/>
  <c r="G234" i="3"/>
  <c r="G210" i="3"/>
  <c r="G222" i="3"/>
  <c r="G249" i="3"/>
  <c r="G235" i="3"/>
  <c r="G211" i="3"/>
  <c r="G223" i="3"/>
  <c r="G250" i="3"/>
  <c r="G236" i="3"/>
  <c r="G212" i="3"/>
  <c r="G224" i="3"/>
  <c r="G251" i="3"/>
  <c r="G237" i="3"/>
  <c r="G213" i="3"/>
  <c r="G225" i="3"/>
  <c r="G252" i="3"/>
  <c r="G238" i="3"/>
  <c r="G253" i="3"/>
  <c r="G239" i="3"/>
  <c r="G292" i="3"/>
  <c r="G278" i="3"/>
  <c r="G266" i="3"/>
  <c r="G254" i="3"/>
  <c r="G293" i="3"/>
  <c r="G279" i="3"/>
  <c r="G267" i="3"/>
  <c r="G255" i="3"/>
  <c r="G294" i="3"/>
  <c r="G280" i="3"/>
  <c r="G268" i="3"/>
  <c r="G256" i="3"/>
  <c r="G295" i="3"/>
  <c r="G281" i="3"/>
  <c r="G269" i="3"/>
  <c r="G257" i="3"/>
  <c r="G296" i="3"/>
  <c r="G282" i="3"/>
  <c r="G270" i="3"/>
  <c r="G258" i="3"/>
  <c r="G297" i="3"/>
  <c r="G283" i="3"/>
  <c r="G271" i="3"/>
  <c r="G259" i="3"/>
  <c r="G298" i="3"/>
  <c r="G284" i="3"/>
  <c r="G272" i="3"/>
  <c r="G260" i="3"/>
  <c r="G299" i="3"/>
  <c r="G285" i="3"/>
  <c r="G273" i="3"/>
  <c r="G261" i="3"/>
  <c r="G300" i="3"/>
  <c r="G286" i="3"/>
  <c r="G274" i="3"/>
  <c r="G262" i="3"/>
  <c r="G301" i="3"/>
  <c r="G287" i="3"/>
  <c r="G275" i="3"/>
  <c r="G263" i="3"/>
  <c r="G302" i="3"/>
  <c r="G288" i="3"/>
  <c r="G276" i="3"/>
  <c r="G264" i="3"/>
  <c r="G303" i="3"/>
  <c r="G289" i="3"/>
  <c r="G277" i="3"/>
  <c r="G265" i="3"/>
  <c r="G304" i="3"/>
  <c r="G290" i="3"/>
  <c r="G305" i="3"/>
  <c r="G291" i="3"/>
  <c r="G342" i="3"/>
  <c r="G328" i="3"/>
  <c r="G317" i="3"/>
  <c r="G306" i="3"/>
  <c r="G343" i="3"/>
  <c r="G329" i="3"/>
  <c r="G318" i="3"/>
  <c r="G307" i="3"/>
  <c r="G344" i="3"/>
  <c r="G330" i="3"/>
  <c r="G319" i="3"/>
  <c r="G308" i="3"/>
  <c r="G345" i="3"/>
  <c r="G331" i="3"/>
  <c r="G320" i="3"/>
  <c r="G309" i="3"/>
  <c r="G346" i="3"/>
  <c r="G332" i="3"/>
  <c r="G321" i="3"/>
  <c r="G310" i="3"/>
  <c r="G347" i="3"/>
  <c r="G333" i="3"/>
  <c r="G322" i="3"/>
  <c r="G311" i="3"/>
  <c r="G348" i="3"/>
  <c r="G334" i="3"/>
  <c r="G323" i="3"/>
  <c r="G312" i="3"/>
  <c r="G349" i="3"/>
  <c r="G335" i="3"/>
  <c r="G324" i="3"/>
  <c r="G313" i="3"/>
  <c r="G350" i="3"/>
  <c r="G336" i="3"/>
  <c r="G325" i="3"/>
  <c r="G314" i="3"/>
  <c r="G351" i="3"/>
  <c r="G337" i="3"/>
  <c r="G326" i="3"/>
  <c r="G315" i="3"/>
  <c r="G352" i="3"/>
  <c r="G338" i="3"/>
  <c r="G327" i="3"/>
  <c r="G316" i="3"/>
  <c r="G353" i="3"/>
  <c r="G339" i="3"/>
  <c r="G354" i="3"/>
  <c r="G340" i="3"/>
  <c r="G355" i="3"/>
  <c r="G341" i="3"/>
  <c r="G395" i="3"/>
  <c r="G382" i="3"/>
  <c r="G356" i="3"/>
  <c r="G369" i="3"/>
  <c r="G396" i="3"/>
  <c r="G383" i="3"/>
  <c r="G357" i="3"/>
  <c r="G370" i="3"/>
  <c r="G397" i="3"/>
  <c r="G384" i="3"/>
  <c r="G358" i="3"/>
  <c r="G371" i="3"/>
  <c r="G398" i="3"/>
  <c r="G385" i="3"/>
  <c r="G359" i="3"/>
  <c r="G372" i="3"/>
  <c r="G399" i="3"/>
  <c r="G386" i="3"/>
  <c r="G360" i="3"/>
  <c r="G373" i="3"/>
  <c r="G400" i="3"/>
  <c r="G387" i="3"/>
  <c r="G361" i="3"/>
  <c r="G374" i="3"/>
  <c r="G401" i="3"/>
  <c r="G388" i="3"/>
  <c r="G362" i="3"/>
  <c r="G375" i="3"/>
  <c r="G402" i="3"/>
  <c r="G389" i="3"/>
  <c r="G363" i="3"/>
  <c r="G376" i="3"/>
  <c r="G403" i="3"/>
  <c r="G390" i="3"/>
  <c r="G364" i="3"/>
  <c r="G377" i="3"/>
  <c r="G404" i="3"/>
  <c r="G391" i="3"/>
  <c r="G365" i="3"/>
  <c r="G378" i="3"/>
  <c r="G405" i="3"/>
  <c r="G392" i="3"/>
  <c r="G366" i="3"/>
  <c r="G379" i="3"/>
  <c r="G406" i="3"/>
  <c r="G393" i="3"/>
  <c r="G367" i="3"/>
  <c r="G380" i="3"/>
  <c r="G407" i="3"/>
  <c r="G394" i="3"/>
  <c r="G368" i="3"/>
  <c r="G381" i="3"/>
  <c r="G438" i="3"/>
  <c r="G408" i="3"/>
  <c r="G468" i="3"/>
  <c r="G439" i="3"/>
  <c r="G409" i="3"/>
  <c r="G469" i="3"/>
  <c r="G440" i="3"/>
  <c r="G410" i="3"/>
  <c r="G470" i="3"/>
  <c r="G441" i="3"/>
  <c r="G411" i="3"/>
  <c r="G471" i="3"/>
  <c r="G442" i="3"/>
  <c r="G412" i="3"/>
  <c r="G472" i="3"/>
  <c r="G443" i="3"/>
  <c r="G413" i="3"/>
  <c r="G473" i="3"/>
  <c r="G444" i="3"/>
  <c r="G414" i="3"/>
  <c r="G474" i="3"/>
  <c r="G445" i="3"/>
  <c r="G415" i="3"/>
  <c r="G475" i="3"/>
  <c r="G446" i="3"/>
  <c r="G416" i="3"/>
  <c r="G476" i="3"/>
  <c r="G447" i="3"/>
  <c r="G417" i="3"/>
  <c r="G477" i="3"/>
  <c r="G448" i="3"/>
  <c r="G418" i="3"/>
  <c r="G478" i="3"/>
  <c r="G449" i="3"/>
  <c r="G419" i="3"/>
  <c r="G479" i="3"/>
  <c r="G450" i="3"/>
  <c r="G420" i="3"/>
  <c r="G480" i="3"/>
  <c r="G451" i="3"/>
  <c r="G421" i="3"/>
  <c r="G481" i="3"/>
  <c r="G452" i="3"/>
  <c r="G422" i="3"/>
  <c r="G482" i="3"/>
  <c r="G453" i="3"/>
  <c r="G423" i="3"/>
  <c r="G483" i="3"/>
  <c r="G454" i="3"/>
  <c r="G424" i="3"/>
  <c r="G484" i="3"/>
  <c r="G455" i="3"/>
  <c r="G425" i="3"/>
  <c r="G485" i="3"/>
  <c r="G456" i="3"/>
  <c r="G426" i="3"/>
  <c r="G486" i="3"/>
  <c r="G457" i="3"/>
  <c r="G427" i="3"/>
  <c r="G487" i="3"/>
  <c r="G458" i="3"/>
  <c r="G428" i="3"/>
  <c r="G488" i="3"/>
  <c r="G459" i="3"/>
  <c r="G429" i="3"/>
  <c r="G489" i="3"/>
  <c r="G460" i="3"/>
  <c r="G430" i="3"/>
  <c r="G490" i="3"/>
  <c r="G461" i="3"/>
  <c r="G431" i="3"/>
  <c r="G491" i="3"/>
  <c r="G462" i="3"/>
  <c r="G432" i="3"/>
  <c r="G492" i="3"/>
  <c r="G463" i="3"/>
  <c r="G433" i="3"/>
  <c r="G493" i="3"/>
  <c r="G464" i="3"/>
  <c r="G434" i="3"/>
  <c r="G494" i="3"/>
  <c r="G465" i="3"/>
  <c r="G435" i="3"/>
  <c r="G495" i="3"/>
  <c r="G466" i="3"/>
  <c r="G436" i="3"/>
  <c r="G496" i="3"/>
  <c r="G467" i="3"/>
  <c r="G437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24" i="3"/>
  <c r="G541" i="3"/>
  <c r="G525" i="3"/>
  <c r="G542" i="3"/>
  <c r="G526" i="3"/>
  <c r="G543" i="3"/>
  <c r="G527" i="3"/>
  <c r="G544" i="3"/>
  <c r="G528" i="3"/>
  <c r="G545" i="3"/>
  <c r="G529" i="3"/>
  <c r="G546" i="3"/>
  <c r="G530" i="3"/>
  <c r="G547" i="3"/>
  <c r="G531" i="3"/>
  <c r="G548" i="3"/>
  <c r="G532" i="3"/>
  <c r="G549" i="3"/>
  <c r="G533" i="3"/>
  <c r="G550" i="3"/>
  <c r="G534" i="3"/>
  <c r="G551" i="3"/>
  <c r="G535" i="3"/>
  <c r="G552" i="3"/>
  <c r="G536" i="3"/>
  <c r="G553" i="3"/>
  <c r="G537" i="3"/>
  <c r="G554" i="3"/>
  <c r="G538" i="3"/>
  <c r="G555" i="3"/>
  <c r="G539" i="3"/>
  <c r="G556" i="3"/>
  <c r="G540" i="3"/>
  <c r="G557" i="3"/>
  <c r="G570" i="3"/>
  <c r="G558" i="3"/>
  <c r="G571" i="3"/>
  <c r="G559" i="3"/>
  <c r="G572" i="3"/>
  <c r="G560" i="3"/>
  <c r="G573" i="3"/>
  <c r="G561" i="3"/>
  <c r="G574" i="3"/>
  <c r="G562" i="3"/>
  <c r="G575" i="3"/>
  <c r="G563" i="3"/>
  <c r="G576" i="3"/>
  <c r="G564" i="3"/>
  <c r="G577" i="3"/>
  <c r="G565" i="3"/>
  <c r="G578" i="3"/>
  <c r="G566" i="3"/>
  <c r="G579" i="3"/>
  <c r="G567" i="3"/>
  <c r="G580" i="3"/>
  <c r="G568" i="3"/>
  <c r="G581" i="3"/>
  <c r="G569" i="3"/>
  <c r="G16" i="3"/>
  <c r="F293" i="3"/>
  <c r="H293" i="3"/>
  <c r="F294" i="3"/>
  <c r="H294" i="3"/>
  <c r="F295" i="3"/>
  <c r="H295" i="3"/>
  <c r="F296" i="3"/>
  <c r="H296" i="3"/>
  <c r="F297" i="3"/>
  <c r="H297" i="3"/>
  <c r="F298" i="3"/>
  <c r="H298" i="3"/>
  <c r="F299" i="3"/>
  <c r="H299" i="3"/>
  <c r="F300" i="3"/>
  <c r="H300" i="3"/>
  <c r="F301" i="3"/>
  <c r="H301" i="3"/>
  <c r="F302" i="3"/>
  <c r="H302" i="3"/>
  <c r="F303" i="3"/>
  <c r="H303" i="3"/>
  <c r="F304" i="3"/>
  <c r="H304" i="3"/>
  <c r="F305" i="3"/>
  <c r="H305" i="3"/>
  <c r="F278" i="3"/>
  <c r="H278" i="3"/>
  <c r="F279" i="3"/>
  <c r="H279" i="3"/>
  <c r="F280" i="3"/>
  <c r="H280" i="3"/>
  <c r="F281" i="3"/>
  <c r="H281" i="3"/>
  <c r="F282" i="3"/>
  <c r="H282" i="3"/>
  <c r="F283" i="3"/>
  <c r="H283" i="3"/>
  <c r="F284" i="3"/>
  <c r="H284" i="3"/>
  <c r="F285" i="3"/>
  <c r="H285" i="3"/>
  <c r="F286" i="3"/>
  <c r="H286" i="3"/>
  <c r="F287" i="3"/>
  <c r="H287" i="3"/>
  <c r="F288" i="3"/>
  <c r="H288" i="3"/>
  <c r="F289" i="3"/>
  <c r="H289" i="3"/>
  <c r="F290" i="3"/>
  <c r="H290" i="3"/>
  <c r="F291" i="3"/>
  <c r="H291" i="3"/>
  <c r="F266" i="3"/>
  <c r="H266" i="3"/>
  <c r="F267" i="3"/>
  <c r="H267" i="3"/>
  <c r="F268" i="3"/>
  <c r="H268" i="3"/>
  <c r="F269" i="3"/>
  <c r="H269" i="3"/>
  <c r="F270" i="3"/>
  <c r="H270" i="3"/>
  <c r="F271" i="3"/>
  <c r="H271" i="3"/>
  <c r="F272" i="3"/>
  <c r="H272" i="3"/>
  <c r="F273" i="3"/>
  <c r="H273" i="3"/>
  <c r="F274" i="3"/>
  <c r="H274" i="3"/>
  <c r="F275" i="3"/>
  <c r="H275" i="3"/>
  <c r="F276" i="3"/>
  <c r="H276" i="3"/>
  <c r="F277" i="3"/>
  <c r="H277" i="3"/>
  <c r="F254" i="3"/>
  <c r="H254" i="3"/>
  <c r="F255" i="3"/>
  <c r="H255" i="3"/>
  <c r="F256" i="3"/>
  <c r="H256" i="3"/>
  <c r="F257" i="3"/>
  <c r="H257" i="3"/>
  <c r="F258" i="3"/>
  <c r="H258" i="3"/>
  <c r="F259" i="3"/>
  <c r="H259" i="3"/>
  <c r="F260" i="3"/>
  <c r="H260" i="3"/>
  <c r="F261" i="3"/>
  <c r="H261" i="3"/>
  <c r="F262" i="3"/>
  <c r="H262" i="3"/>
  <c r="F263" i="3"/>
  <c r="H263" i="3"/>
  <c r="F264" i="3"/>
  <c r="H264" i="3"/>
  <c r="F265" i="3"/>
  <c r="H265" i="3"/>
  <c r="F16" i="3"/>
  <c r="H16" i="3"/>
  <c r="F17" i="3"/>
  <c r="H17" i="3"/>
  <c r="F18" i="3"/>
  <c r="H18" i="3"/>
  <c r="F19" i="3"/>
  <c r="H19" i="3"/>
  <c r="F20" i="3"/>
  <c r="H20" i="3"/>
  <c r="F21" i="3"/>
  <c r="H21" i="3"/>
  <c r="F22" i="3"/>
  <c r="H22" i="3"/>
  <c r="F23" i="3"/>
  <c r="H23" i="3"/>
  <c r="F24" i="3"/>
  <c r="H24" i="3"/>
  <c r="F25" i="3"/>
  <c r="H25" i="3"/>
  <c r="F26" i="3"/>
  <c r="H26" i="3"/>
  <c r="F27" i="3"/>
  <c r="H27" i="3"/>
  <c r="F28" i="3"/>
  <c r="H28" i="3"/>
  <c r="F29" i="3"/>
  <c r="H29" i="3"/>
  <c r="F2" i="3"/>
  <c r="H2" i="3"/>
  <c r="F3" i="3"/>
  <c r="H3" i="3"/>
  <c r="F4" i="3"/>
  <c r="H4" i="3"/>
  <c r="F5" i="3"/>
  <c r="H5" i="3"/>
  <c r="F6" i="3"/>
  <c r="H6" i="3"/>
  <c r="F7" i="3"/>
  <c r="H7" i="3"/>
  <c r="F8" i="3"/>
  <c r="H8" i="3"/>
  <c r="F9" i="3"/>
  <c r="H9" i="3"/>
  <c r="F10" i="3"/>
  <c r="H10" i="3"/>
  <c r="F11" i="3"/>
  <c r="H11" i="3"/>
  <c r="F12" i="3"/>
  <c r="H12" i="3"/>
  <c r="F13" i="3"/>
  <c r="H13" i="3"/>
  <c r="F14" i="3"/>
  <c r="H14" i="3"/>
  <c r="F15" i="3"/>
  <c r="H15" i="3"/>
  <c r="F30" i="3"/>
  <c r="H30" i="3"/>
  <c r="F31" i="3"/>
  <c r="H31" i="3"/>
  <c r="F32" i="3"/>
  <c r="H32" i="3"/>
  <c r="F33" i="3"/>
  <c r="H33" i="3"/>
  <c r="F34" i="3"/>
  <c r="H34" i="3"/>
  <c r="F35" i="3"/>
  <c r="H35" i="3"/>
  <c r="F36" i="3"/>
  <c r="H36" i="3"/>
  <c r="F37" i="3"/>
  <c r="H37" i="3"/>
  <c r="F38" i="3"/>
  <c r="H38" i="3"/>
  <c r="F39" i="3"/>
  <c r="H39" i="3"/>
  <c r="F40" i="3"/>
  <c r="H40" i="3"/>
  <c r="F41" i="3"/>
  <c r="H41" i="3"/>
  <c r="F42" i="3"/>
  <c r="H42" i="3"/>
  <c r="F43" i="3"/>
  <c r="H43" i="3"/>
  <c r="F44" i="3"/>
  <c r="H44" i="3"/>
  <c r="F45" i="3"/>
  <c r="H45" i="3"/>
  <c r="F46" i="3"/>
  <c r="H46" i="3"/>
  <c r="F47" i="3"/>
  <c r="H47" i="3"/>
  <c r="F48" i="3"/>
  <c r="H48" i="3"/>
  <c r="F49" i="3"/>
  <c r="H49" i="3"/>
  <c r="F88" i="3"/>
  <c r="H88" i="3"/>
  <c r="F89" i="3"/>
  <c r="H89" i="3"/>
  <c r="F90" i="3"/>
  <c r="H90" i="3"/>
  <c r="F91" i="3"/>
  <c r="H91" i="3"/>
  <c r="F92" i="3"/>
  <c r="H92" i="3"/>
  <c r="F93" i="3"/>
  <c r="H93" i="3"/>
  <c r="F94" i="3"/>
  <c r="H94" i="3"/>
  <c r="F95" i="3"/>
  <c r="H95" i="3"/>
  <c r="F96" i="3"/>
  <c r="H96" i="3"/>
  <c r="F97" i="3"/>
  <c r="H97" i="3"/>
  <c r="F98" i="3"/>
  <c r="H98" i="3"/>
  <c r="F99" i="3"/>
  <c r="H99" i="3"/>
  <c r="F100" i="3"/>
  <c r="H100" i="3"/>
  <c r="F101" i="3"/>
  <c r="H101" i="3"/>
  <c r="F74" i="3"/>
  <c r="H74" i="3"/>
  <c r="F75" i="3"/>
  <c r="H75" i="3"/>
  <c r="F76" i="3"/>
  <c r="H76" i="3"/>
  <c r="F77" i="3"/>
  <c r="H77" i="3"/>
  <c r="F78" i="3"/>
  <c r="H78" i="3"/>
  <c r="F79" i="3"/>
  <c r="H79" i="3"/>
  <c r="F80" i="3"/>
  <c r="H80" i="3"/>
  <c r="F81" i="3"/>
  <c r="H81" i="3"/>
  <c r="F82" i="3"/>
  <c r="H82" i="3"/>
  <c r="F83" i="3"/>
  <c r="H83" i="3"/>
  <c r="F84" i="3"/>
  <c r="H84" i="3"/>
  <c r="F85" i="3"/>
  <c r="H85" i="3"/>
  <c r="F86" i="3"/>
  <c r="H86" i="3"/>
  <c r="F87" i="3"/>
  <c r="H87" i="3"/>
  <c r="F62" i="3"/>
  <c r="H62" i="3"/>
  <c r="F63" i="3"/>
  <c r="H63" i="3"/>
  <c r="F64" i="3"/>
  <c r="H64" i="3"/>
  <c r="F65" i="3"/>
  <c r="H65" i="3"/>
  <c r="F66" i="3"/>
  <c r="H66" i="3"/>
  <c r="F67" i="3"/>
  <c r="H67" i="3"/>
  <c r="F68" i="3"/>
  <c r="H68" i="3"/>
  <c r="F69" i="3"/>
  <c r="H69" i="3"/>
  <c r="F70" i="3"/>
  <c r="H70" i="3"/>
  <c r="F71" i="3"/>
  <c r="H71" i="3"/>
  <c r="F72" i="3"/>
  <c r="H72" i="3"/>
  <c r="F73" i="3"/>
  <c r="H73" i="3"/>
  <c r="F50" i="3"/>
  <c r="H50" i="3"/>
  <c r="F51" i="3"/>
  <c r="H51" i="3"/>
  <c r="F52" i="3"/>
  <c r="H52" i="3"/>
  <c r="F53" i="3"/>
  <c r="H53" i="3"/>
  <c r="F54" i="3"/>
  <c r="H54" i="3"/>
  <c r="F55" i="3"/>
  <c r="H55" i="3"/>
  <c r="F56" i="3"/>
  <c r="H56" i="3"/>
  <c r="F57" i="3"/>
  <c r="H57" i="3"/>
  <c r="F58" i="3"/>
  <c r="H58" i="3"/>
  <c r="F59" i="3"/>
  <c r="H59" i="3"/>
  <c r="F60" i="3"/>
  <c r="H60" i="3"/>
  <c r="F61" i="3"/>
  <c r="H61" i="3"/>
  <c r="F115" i="3"/>
  <c r="H115" i="3"/>
  <c r="F116" i="3"/>
  <c r="H116" i="3"/>
  <c r="F117" i="3"/>
  <c r="H117" i="3"/>
  <c r="F118" i="3"/>
  <c r="H118" i="3"/>
  <c r="F119" i="3"/>
  <c r="H119" i="3"/>
  <c r="F120" i="3"/>
  <c r="H120" i="3"/>
  <c r="F121" i="3"/>
  <c r="H121" i="3"/>
  <c r="F122" i="3"/>
  <c r="H122" i="3"/>
  <c r="F123" i="3"/>
  <c r="H123" i="3"/>
  <c r="F124" i="3"/>
  <c r="H124" i="3"/>
  <c r="F125" i="3"/>
  <c r="H125" i="3"/>
  <c r="F126" i="3"/>
  <c r="H126" i="3"/>
  <c r="F127" i="3"/>
  <c r="H127" i="3"/>
  <c r="F102" i="3"/>
  <c r="H102" i="3"/>
  <c r="F103" i="3"/>
  <c r="H103" i="3"/>
  <c r="F104" i="3"/>
  <c r="H104" i="3"/>
  <c r="F105" i="3"/>
  <c r="H105" i="3"/>
  <c r="F106" i="3"/>
  <c r="H106" i="3"/>
  <c r="F107" i="3"/>
  <c r="H107" i="3"/>
  <c r="F108" i="3"/>
  <c r="H108" i="3"/>
  <c r="F109" i="3"/>
  <c r="H109" i="3"/>
  <c r="F110" i="3"/>
  <c r="H110" i="3"/>
  <c r="F111" i="3"/>
  <c r="H111" i="3"/>
  <c r="F112" i="3"/>
  <c r="H112" i="3"/>
  <c r="F113" i="3"/>
  <c r="H113" i="3"/>
  <c r="F114" i="3"/>
  <c r="H114" i="3"/>
  <c r="F128" i="3"/>
  <c r="H128" i="3"/>
  <c r="F129" i="3"/>
  <c r="H129" i="3"/>
  <c r="F130" i="3"/>
  <c r="H130" i="3"/>
  <c r="F131" i="3"/>
  <c r="H131" i="3"/>
  <c r="F132" i="3"/>
  <c r="H132" i="3"/>
  <c r="F133" i="3"/>
  <c r="H133" i="3"/>
  <c r="F134" i="3"/>
  <c r="H134" i="3"/>
  <c r="F135" i="3"/>
  <c r="H135" i="3"/>
  <c r="F136" i="3"/>
  <c r="H136" i="3"/>
  <c r="F137" i="3"/>
  <c r="H137" i="3"/>
  <c r="F138" i="3"/>
  <c r="H138" i="3"/>
  <c r="F139" i="3"/>
  <c r="H139" i="3"/>
  <c r="F140" i="3"/>
  <c r="H140" i="3"/>
  <c r="F141" i="3"/>
  <c r="H141" i="3"/>
  <c r="F142" i="3"/>
  <c r="H142" i="3"/>
  <c r="F143" i="3"/>
  <c r="H143" i="3"/>
  <c r="F144" i="3"/>
  <c r="H144" i="3"/>
  <c r="F145" i="3"/>
  <c r="H145" i="3"/>
  <c r="F146" i="3"/>
  <c r="H146" i="3"/>
  <c r="F147" i="3"/>
  <c r="H147" i="3"/>
  <c r="F148" i="3"/>
  <c r="H148" i="3"/>
  <c r="F149" i="3"/>
  <c r="H149" i="3"/>
  <c r="F150" i="3"/>
  <c r="H150" i="3"/>
  <c r="F151" i="3"/>
  <c r="H151" i="3"/>
  <c r="F188" i="3"/>
  <c r="H188" i="3"/>
  <c r="F189" i="3"/>
  <c r="H189" i="3"/>
  <c r="F190" i="3"/>
  <c r="H190" i="3"/>
  <c r="F191" i="3"/>
  <c r="H191" i="3"/>
  <c r="F192" i="3"/>
  <c r="H192" i="3"/>
  <c r="F193" i="3"/>
  <c r="H193" i="3"/>
  <c r="F194" i="3"/>
  <c r="H194" i="3"/>
  <c r="F195" i="3"/>
  <c r="H195" i="3"/>
  <c r="F196" i="3"/>
  <c r="H196" i="3"/>
  <c r="F197" i="3"/>
  <c r="H197" i="3"/>
  <c r="F198" i="3"/>
  <c r="H198" i="3"/>
  <c r="F199" i="3"/>
  <c r="H199" i="3"/>
  <c r="F200" i="3"/>
  <c r="H200" i="3"/>
  <c r="F201" i="3"/>
  <c r="H201" i="3"/>
  <c r="F174" i="3"/>
  <c r="H174" i="3"/>
  <c r="F175" i="3"/>
  <c r="H175" i="3"/>
  <c r="F176" i="3"/>
  <c r="H176" i="3"/>
  <c r="F177" i="3"/>
  <c r="H177" i="3"/>
  <c r="F178" i="3"/>
  <c r="H178" i="3"/>
  <c r="F179" i="3"/>
  <c r="H179" i="3"/>
  <c r="F180" i="3"/>
  <c r="H180" i="3"/>
  <c r="F181" i="3"/>
  <c r="H181" i="3"/>
  <c r="F182" i="3"/>
  <c r="H182" i="3"/>
  <c r="F183" i="3"/>
  <c r="H183" i="3"/>
  <c r="F184" i="3"/>
  <c r="H184" i="3"/>
  <c r="F185" i="3"/>
  <c r="H185" i="3"/>
  <c r="F186" i="3"/>
  <c r="H186" i="3"/>
  <c r="F187" i="3"/>
  <c r="H187" i="3"/>
  <c r="F163" i="3"/>
  <c r="H163" i="3"/>
  <c r="F164" i="3"/>
  <c r="H164" i="3"/>
  <c r="F165" i="3"/>
  <c r="H165" i="3"/>
  <c r="F166" i="3"/>
  <c r="H166" i="3"/>
  <c r="F167" i="3"/>
  <c r="H167" i="3"/>
  <c r="F168" i="3"/>
  <c r="H168" i="3"/>
  <c r="F169" i="3"/>
  <c r="H169" i="3"/>
  <c r="F170" i="3"/>
  <c r="H170" i="3"/>
  <c r="F171" i="3"/>
  <c r="H171" i="3"/>
  <c r="F172" i="3"/>
  <c r="H172" i="3"/>
  <c r="F173" i="3"/>
  <c r="H173" i="3"/>
  <c r="F152" i="3"/>
  <c r="H152" i="3"/>
  <c r="F153" i="3"/>
  <c r="H153" i="3"/>
  <c r="F154" i="3"/>
  <c r="H154" i="3"/>
  <c r="F155" i="3"/>
  <c r="H155" i="3"/>
  <c r="F156" i="3"/>
  <c r="H156" i="3"/>
  <c r="F157" i="3"/>
  <c r="H157" i="3"/>
  <c r="F158" i="3"/>
  <c r="H158" i="3"/>
  <c r="F159" i="3"/>
  <c r="H159" i="3"/>
  <c r="F160" i="3"/>
  <c r="H160" i="3"/>
  <c r="F161" i="3"/>
  <c r="H161" i="3"/>
  <c r="F162" i="3"/>
  <c r="H162" i="3"/>
  <c r="F240" i="3"/>
  <c r="H240" i="3"/>
  <c r="F241" i="3"/>
  <c r="H241" i="3"/>
  <c r="F242" i="3"/>
  <c r="H242" i="3"/>
  <c r="F243" i="3"/>
  <c r="H243" i="3"/>
  <c r="F244" i="3"/>
  <c r="H244" i="3"/>
  <c r="F245" i="3"/>
  <c r="H245" i="3"/>
  <c r="F246" i="3"/>
  <c r="H246" i="3"/>
  <c r="F247" i="3"/>
  <c r="H247" i="3"/>
  <c r="F248" i="3"/>
  <c r="H248" i="3"/>
  <c r="F249" i="3"/>
  <c r="H249" i="3"/>
  <c r="F250" i="3"/>
  <c r="H250" i="3"/>
  <c r="F251" i="3"/>
  <c r="H251" i="3"/>
  <c r="F252" i="3"/>
  <c r="H252" i="3"/>
  <c r="F253" i="3"/>
  <c r="H253" i="3"/>
  <c r="F226" i="3"/>
  <c r="H226" i="3"/>
  <c r="F227" i="3"/>
  <c r="H227" i="3"/>
  <c r="F228" i="3"/>
  <c r="H228" i="3"/>
  <c r="F229" i="3"/>
  <c r="H229" i="3"/>
  <c r="F230" i="3"/>
  <c r="H230" i="3"/>
  <c r="F231" i="3"/>
  <c r="H231" i="3"/>
  <c r="F232" i="3"/>
  <c r="H232" i="3"/>
  <c r="F233" i="3"/>
  <c r="H233" i="3"/>
  <c r="F234" i="3"/>
  <c r="H234" i="3"/>
  <c r="F235" i="3"/>
  <c r="H235" i="3"/>
  <c r="F236" i="3"/>
  <c r="H236" i="3"/>
  <c r="F237" i="3"/>
  <c r="H237" i="3"/>
  <c r="F238" i="3"/>
  <c r="H238" i="3"/>
  <c r="F239" i="3"/>
  <c r="H239" i="3"/>
  <c r="F202" i="3"/>
  <c r="H202" i="3"/>
  <c r="F203" i="3"/>
  <c r="H203" i="3"/>
  <c r="F204" i="3"/>
  <c r="H204" i="3"/>
  <c r="F205" i="3"/>
  <c r="H205" i="3"/>
  <c r="F206" i="3"/>
  <c r="H206" i="3"/>
  <c r="F207" i="3"/>
  <c r="H207" i="3"/>
  <c r="F208" i="3"/>
  <c r="H208" i="3"/>
  <c r="F209" i="3"/>
  <c r="H209" i="3"/>
  <c r="F210" i="3"/>
  <c r="H210" i="3"/>
  <c r="F211" i="3"/>
  <c r="H211" i="3"/>
  <c r="F212" i="3"/>
  <c r="H212" i="3"/>
  <c r="F213" i="3"/>
  <c r="H213" i="3"/>
  <c r="F214" i="3"/>
  <c r="H214" i="3"/>
  <c r="F215" i="3"/>
  <c r="H215" i="3"/>
  <c r="F216" i="3"/>
  <c r="H216" i="3"/>
  <c r="F217" i="3"/>
  <c r="H217" i="3"/>
  <c r="F218" i="3"/>
  <c r="H218" i="3"/>
  <c r="F219" i="3"/>
  <c r="H219" i="3"/>
  <c r="F220" i="3"/>
  <c r="H220" i="3"/>
  <c r="F221" i="3"/>
  <c r="H221" i="3"/>
  <c r="F222" i="3"/>
  <c r="H222" i="3"/>
  <c r="F223" i="3"/>
  <c r="H223" i="3"/>
  <c r="F224" i="3"/>
  <c r="H224" i="3"/>
  <c r="F225" i="3"/>
  <c r="H225" i="3"/>
  <c r="F342" i="3"/>
  <c r="H342" i="3"/>
  <c r="F343" i="3"/>
  <c r="H343" i="3"/>
  <c r="F344" i="3"/>
  <c r="H344" i="3"/>
  <c r="F345" i="3"/>
  <c r="H345" i="3"/>
  <c r="F346" i="3"/>
  <c r="H346" i="3"/>
  <c r="F347" i="3"/>
  <c r="H347" i="3"/>
  <c r="F348" i="3"/>
  <c r="H348" i="3"/>
  <c r="F349" i="3"/>
  <c r="H349" i="3"/>
  <c r="F350" i="3"/>
  <c r="H350" i="3"/>
  <c r="F351" i="3"/>
  <c r="H351" i="3"/>
  <c r="F352" i="3"/>
  <c r="H352" i="3"/>
  <c r="F353" i="3"/>
  <c r="H353" i="3"/>
  <c r="F354" i="3"/>
  <c r="H354" i="3"/>
  <c r="F355" i="3"/>
  <c r="H355" i="3"/>
  <c r="F328" i="3"/>
  <c r="H328" i="3"/>
  <c r="F329" i="3"/>
  <c r="H329" i="3"/>
  <c r="F330" i="3"/>
  <c r="H330" i="3"/>
  <c r="F331" i="3"/>
  <c r="H331" i="3"/>
  <c r="F332" i="3"/>
  <c r="H332" i="3"/>
  <c r="F333" i="3"/>
  <c r="H333" i="3"/>
  <c r="F334" i="3"/>
  <c r="H334" i="3"/>
  <c r="F335" i="3"/>
  <c r="H335" i="3"/>
  <c r="F336" i="3"/>
  <c r="H336" i="3"/>
  <c r="F337" i="3"/>
  <c r="H337" i="3"/>
  <c r="F338" i="3"/>
  <c r="H338" i="3"/>
  <c r="F339" i="3"/>
  <c r="H339" i="3"/>
  <c r="F340" i="3"/>
  <c r="H340" i="3"/>
  <c r="F341" i="3"/>
  <c r="H341" i="3"/>
  <c r="F317" i="3"/>
  <c r="H317" i="3"/>
  <c r="F318" i="3"/>
  <c r="H318" i="3"/>
  <c r="F319" i="3"/>
  <c r="H319" i="3"/>
  <c r="F320" i="3"/>
  <c r="H320" i="3"/>
  <c r="F321" i="3"/>
  <c r="H321" i="3"/>
  <c r="F322" i="3"/>
  <c r="H322" i="3"/>
  <c r="F323" i="3"/>
  <c r="H323" i="3"/>
  <c r="F324" i="3"/>
  <c r="H324" i="3"/>
  <c r="F325" i="3"/>
  <c r="H325" i="3"/>
  <c r="F326" i="3"/>
  <c r="H326" i="3"/>
  <c r="F327" i="3"/>
  <c r="H327" i="3"/>
  <c r="F306" i="3"/>
  <c r="H306" i="3"/>
  <c r="F307" i="3"/>
  <c r="H307" i="3"/>
  <c r="F308" i="3"/>
  <c r="H308" i="3"/>
  <c r="F309" i="3"/>
  <c r="H309" i="3"/>
  <c r="F310" i="3"/>
  <c r="H310" i="3"/>
  <c r="F311" i="3"/>
  <c r="H311" i="3"/>
  <c r="F312" i="3"/>
  <c r="H312" i="3"/>
  <c r="F313" i="3"/>
  <c r="H313" i="3"/>
  <c r="F314" i="3"/>
  <c r="H314" i="3"/>
  <c r="F315" i="3"/>
  <c r="H315" i="3"/>
  <c r="F316" i="3"/>
  <c r="H316" i="3"/>
  <c r="F395" i="3"/>
  <c r="H395" i="3"/>
  <c r="F396" i="3"/>
  <c r="H396" i="3"/>
  <c r="F397" i="3"/>
  <c r="H397" i="3"/>
  <c r="F398" i="3"/>
  <c r="H398" i="3"/>
  <c r="F399" i="3"/>
  <c r="H399" i="3"/>
  <c r="F400" i="3"/>
  <c r="H400" i="3"/>
  <c r="F401" i="3"/>
  <c r="H401" i="3"/>
  <c r="F402" i="3"/>
  <c r="H402" i="3"/>
  <c r="F403" i="3"/>
  <c r="H403" i="3"/>
  <c r="F404" i="3"/>
  <c r="H404" i="3"/>
  <c r="F405" i="3"/>
  <c r="H405" i="3"/>
  <c r="F406" i="3"/>
  <c r="H406" i="3"/>
  <c r="F407" i="3"/>
  <c r="H407" i="3"/>
  <c r="F382" i="3"/>
  <c r="H382" i="3"/>
  <c r="F383" i="3"/>
  <c r="H383" i="3"/>
  <c r="F384" i="3"/>
  <c r="H384" i="3"/>
  <c r="F385" i="3"/>
  <c r="H385" i="3"/>
  <c r="F386" i="3"/>
  <c r="H386" i="3"/>
  <c r="F387" i="3"/>
  <c r="H387" i="3"/>
  <c r="F388" i="3"/>
  <c r="H388" i="3"/>
  <c r="F389" i="3"/>
  <c r="H389" i="3"/>
  <c r="F390" i="3"/>
  <c r="H390" i="3"/>
  <c r="F391" i="3"/>
  <c r="H391" i="3"/>
  <c r="F392" i="3"/>
  <c r="H392" i="3"/>
  <c r="F393" i="3"/>
  <c r="H393" i="3"/>
  <c r="F394" i="3"/>
  <c r="H394" i="3"/>
  <c r="F356" i="3"/>
  <c r="H356" i="3"/>
  <c r="F357" i="3"/>
  <c r="H357" i="3"/>
  <c r="F358" i="3"/>
  <c r="H358" i="3"/>
  <c r="F359" i="3"/>
  <c r="H359" i="3"/>
  <c r="F360" i="3"/>
  <c r="H360" i="3"/>
  <c r="F361" i="3"/>
  <c r="H361" i="3"/>
  <c r="F362" i="3"/>
  <c r="H362" i="3"/>
  <c r="F363" i="3"/>
  <c r="H363" i="3"/>
  <c r="F364" i="3"/>
  <c r="H364" i="3"/>
  <c r="F365" i="3"/>
  <c r="H365" i="3"/>
  <c r="F366" i="3"/>
  <c r="H366" i="3"/>
  <c r="F367" i="3"/>
  <c r="H367" i="3"/>
  <c r="F368" i="3"/>
  <c r="H368" i="3"/>
  <c r="F369" i="3"/>
  <c r="H369" i="3"/>
  <c r="F370" i="3"/>
  <c r="H370" i="3"/>
  <c r="F371" i="3"/>
  <c r="H371" i="3"/>
  <c r="F372" i="3"/>
  <c r="H372" i="3"/>
  <c r="F373" i="3"/>
  <c r="H373" i="3"/>
  <c r="F374" i="3"/>
  <c r="H374" i="3"/>
  <c r="F375" i="3"/>
  <c r="H375" i="3"/>
  <c r="F376" i="3"/>
  <c r="H376" i="3"/>
  <c r="F377" i="3"/>
  <c r="H377" i="3"/>
  <c r="F378" i="3"/>
  <c r="H378" i="3"/>
  <c r="F379" i="3"/>
  <c r="H379" i="3"/>
  <c r="F380" i="3"/>
  <c r="H380" i="3"/>
  <c r="F381" i="3"/>
  <c r="H381" i="3"/>
  <c r="F438" i="3"/>
  <c r="H438" i="3"/>
  <c r="F439" i="3"/>
  <c r="H439" i="3"/>
  <c r="F440" i="3"/>
  <c r="H440" i="3"/>
  <c r="F441" i="3"/>
  <c r="H441" i="3"/>
  <c r="F442" i="3"/>
  <c r="H442" i="3"/>
  <c r="F443" i="3"/>
  <c r="H443" i="3"/>
  <c r="F444" i="3"/>
  <c r="H444" i="3"/>
  <c r="F445" i="3"/>
  <c r="H445" i="3"/>
  <c r="F446" i="3"/>
  <c r="H446" i="3"/>
  <c r="F447" i="3"/>
  <c r="H447" i="3"/>
  <c r="F448" i="3"/>
  <c r="H448" i="3"/>
  <c r="F449" i="3"/>
  <c r="H449" i="3"/>
  <c r="F450" i="3"/>
  <c r="H450" i="3"/>
  <c r="F451" i="3"/>
  <c r="H451" i="3"/>
  <c r="F452" i="3"/>
  <c r="H452" i="3"/>
  <c r="F453" i="3"/>
  <c r="H453" i="3"/>
  <c r="F454" i="3"/>
  <c r="H454" i="3"/>
  <c r="F455" i="3"/>
  <c r="H455" i="3"/>
  <c r="F456" i="3"/>
  <c r="H456" i="3"/>
  <c r="F457" i="3"/>
  <c r="H457" i="3"/>
  <c r="F458" i="3"/>
  <c r="H458" i="3"/>
  <c r="F459" i="3"/>
  <c r="H459" i="3"/>
  <c r="F460" i="3"/>
  <c r="H460" i="3"/>
  <c r="F461" i="3"/>
  <c r="H461" i="3"/>
  <c r="F462" i="3"/>
  <c r="H462" i="3"/>
  <c r="F463" i="3"/>
  <c r="H463" i="3"/>
  <c r="F464" i="3"/>
  <c r="H464" i="3"/>
  <c r="F465" i="3"/>
  <c r="H465" i="3"/>
  <c r="F466" i="3"/>
  <c r="H466" i="3"/>
  <c r="F467" i="3"/>
  <c r="H467" i="3"/>
  <c r="F408" i="3"/>
  <c r="H408" i="3"/>
  <c r="F409" i="3"/>
  <c r="H409" i="3"/>
  <c r="F410" i="3"/>
  <c r="H410" i="3"/>
  <c r="F411" i="3"/>
  <c r="H411" i="3"/>
  <c r="F412" i="3"/>
  <c r="H412" i="3"/>
  <c r="F413" i="3"/>
  <c r="H413" i="3"/>
  <c r="F414" i="3"/>
  <c r="H414" i="3"/>
  <c r="F415" i="3"/>
  <c r="H415" i="3"/>
  <c r="F416" i="3"/>
  <c r="H416" i="3"/>
  <c r="F417" i="3"/>
  <c r="H417" i="3"/>
  <c r="F418" i="3"/>
  <c r="H418" i="3"/>
  <c r="F419" i="3"/>
  <c r="H419" i="3"/>
  <c r="F420" i="3"/>
  <c r="H420" i="3"/>
  <c r="F421" i="3"/>
  <c r="H421" i="3"/>
  <c r="F422" i="3"/>
  <c r="H422" i="3"/>
  <c r="F423" i="3"/>
  <c r="H423" i="3"/>
  <c r="F424" i="3"/>
  <c r="H424" i="3"/>
  <c r="F425" i="3"/>
  <c r="H425" i="3"/>
  <c r="F426" i="3"/>
  <c r="H426" i="3"/>
  <c r="F427" i="3"/>
  <c r="H427" i="3"/>
  <c r="F428" i="3"/>
  <c r="H428" i="3"/>
  <c r="F429" i="3"/>
  <c r="H429" i="3"/>
  <c r="F430" i="3"/>
  <c r="H430" i="3"/>
  <c r="F431" i="3"/>
  <c r="H431" i="3"/>
  <c r="F432" i="3"/>
  <c r="H432" i="3"/>
  <c r="F433" i="3"/>
  <c r="H433" i="3"/>
  <c r="F434" i="3"/>
  <c r="H434" i="3"/>
  <c r="F435" i="3"/>
  <c r="H435" i="3"/>
  <c r="F436" i="3"/>
  <c r="H436" i="3"/>
  <c r="F437" i="3"/>
  <c r="H437" i="3"/>
  <c r="F468" i="3"/>
  <c r="H468" i="3"/>
  <c r="F469" i="3"/>
  <c r="H469" i="3"/>
  <c r="F470" i="3"/>
  <c r="H470" i="3"/>
  <c r="F471" i="3"/>
  <c r="H471" i="3"/>
  <c r="F472" i="3"/>
  <c r="H472" i="3"/>
  <c r="F473" i="3"/>
  <c r="H473" i="3"/>
  <c r="F474" i="3"/>
  <c r="H474" i="3"/>
  <c r="F475" i="3"/>
  <c r="H475" i="3"/>
  <c r="F476" i="3"/>
  <c r="H476" i="3"/>
  <c r="F477" i="3"/>
  <c r="H477" i="3"/>
  <c r="F478" i="3"/>
  <c r="H478" i="3"/>
  <c r="F479" i="3"/>
  <c r="H479" i="3"/>
  <c r="F480" i="3"/>
  <c r="H480" i="3"/>
  <c r="F481" i="3"/>
  <c r="H481" i="3"/>
  <c r="F482" i="3"/>
  <c r="H482" i="3"/>
  <c r="F483" i="3"/>
  <c r="H483" i="3"/>
  <c r="F484" i="3"/>
  <c r="H484" i="3"/>
  <c r="F485" i="3"/>
  <c r="H485" i="3"/>
  <c r="F486" i="3"/>
  <c r="H486" i="3"/>
  <c r="F487" i="3"/>
  <c r="H487" i="3"/>
  <c r="F488" i="3"/>
  <c r="H488" i="3"/>
  <c r="F489" i="3"/>
  <c r="H489" i="3"/>
  <c r="F490" i="3"/>
  <c r="H490" i="3"/>
  <c r="F491" i="3"/>
  <c r="H491" i="3"/>
  <c r="F492" i="3"/>
  <c r="H492" i="3"/>
  <c r="F493" i="3"/>
  <c r="H493" i="3"/>
  <c r="F494" i="3"/>
  <c r="H494" i="3"/>
  <c r="F495" i="3"/>
  <c r="H495" i="3"/>
  <c r="F496" i="3"/>
  <c r="H496" i="3"/>
  <c r="F497" i="3"/>
  <c r="H497" i="3"/>
  <c r="F498" i="3"/>
  <c r="H498" i="3"/>
  <c r="F499" i="3"/>
  <c r="H499" i="3"/>
  <c r="F500" i="3"/>
  <c r="H500" i="3"/>
  <c r="F501" i="3"/>
  <c r="H501" i="3"/>
  <c r="F502" i="3"/>
  <c r="H502" i="3"/>
  <c r="F503" i="3"/>
  <c r="H503" i="3"/>
  <c r="F504" i="3"/>
  <c r="H504" i="3"/>
  <c r="F505" i="3"/>
  <c r="H505" i="3"/>
  <c r="F506" i="3"/>
  <c r="H506" i="3"/>
  <c r="F507" i="3"/>
  <c r="H507" i="3"/>
  <c r="F508" i="3"/>
  <c r="H508" i="3"/>
  <c r="F509" i="3"/>
  <c r="H509" i="3"/>
  <c r="F510" i="3"/>
  <c r="H510" i="3"/>
  <c r="F524" i="3"/>
  <c r="H524" i="3"/>
  <c r="F525" i="3"/>
  <c r="H525" i="3"/>
  <c r="F526" i="3"/>
  <c r="H526" i="3"/>
  <c r="F527" i="3"/>
  <c r="H527" i="3"/>
  <c r="F528" i="3"/>
  <c r="H528" i="3"/>
  <c r="F529" i="3"/>
  <c r="H529" i="3"/>
  <c r="F530" i="3"/>
  <c r="H530" i="3"/>
  <c r="F531" i="3"/>
  <c r="H531" i="3"/>
  <c r="F532" i="3"/>
  <c r="H532" i="3"/>
  <c r="F533" i="3"/>
  <c r="H533" i="3"/>
  <c r="F534" i="3"/>
  <c r="H534" i="3"/>
  <c r="F535" i="3"/>
  <c r="H535" i="3"/>
  <c r="F536" i="3"/>
  <c r="H536" i="3"/>
  <c r="F537" i="3"/>
  <c r="H537" i="3"/>
  <c r="F538" i="3"/>
  <c r="H538" i="3"/>
  <c r="F539" i="3"/>
  <c r="H539" i="3"/>
  <c r="F540" i="3"/>
  <c r="H540" i="3"/>
  <c r="F541" i="3"/>
  <c r="H541" i="3"/>
  <c r="F542" i="3"/>
  <c r="H542" i="3"/>
  <c r="F543" i="3"/>
  <c r="H543" i="3"/>
  <c r="F544" i="3"/>
  <c r="H544" i="3"/>
  <c r="F545" i="3"/>
  <c r="H545" i="3"/>
  <c r="F546" i="3"/>
  <c r="H546" i="3"/>
  <c r="F547" i="3"/>
  <c r="H547" i="3"/>
  <c r="F548" i="3"/>
  <c r="H548" i="3"/>
  <c r="F549" i="3"/>
  <c r="H549" i="3"/>
  <c r="F550" i="3"/>
  <c r="H550" i="3"/>
  <c r="F551" i="3"/>
  <c r="H551" i="3"/>
  <c r="F552" i="3"/>
  <c r="H552" i="3"/>
  <c r="F553" i="3"/>
  <c r="H553" i="3"/>
  <c r="F554" i="3"/>
  <c r="H554" i="3"/>
  <c r="F555" i="3"/>
  <c r="H555" i="3"/>
  <c r="F556" i="3"/>
  <c r="H556" i="3"/>
  <c r="F557" i="3"/>
  <c r="H557" i="3"/>
  <c r="F570" i="3"/>
  <c r="H570" i="3"/>
  <c r="F571" i="3"/>
  <c r="H571" i="3"/>
  <c r="F572" i="3"/>
  <c r="H572" i="3"/>
  <c r="F573" i="3"/>
  <c r="H573" i="3"/>
  <c r="F574" i="3"/>
  <c r="H574" i="3"/>
  <c r="F575" i="3"/>
  <c r="H575" i="3"/>
  <c r="F576" i="3"/>
  <c r="H576" i="3"/>
  <c r="F577" i="3"/>
  <c r="H577" i="3"/>
  <c r="F578" i="3"/>
  <c r="H578" i="3"/>
  <c r="F579" i="3"/>
  <c r="H579" i="3"/>
  <c r="F580" i="3"/>
  <c r="H580" i="3"/>
  <c r="F581" i="3"/>
  <c r="H581" i="3"/>
  <c r="F558" i="3"/>
  <c r="H558" i="3"/>
  <c r="F559" i="3"/>
  <c r="H559" i="3"/>
  <c r="F560" i="3"/>
  <c r="H560" i="3"/>
  <c r="F561" i="3"/>
  <c r="H561" i="3"/>
  <c r="F562" i="3"/>
  <c r="H562" i="3"/>
  <c r="F563" i="3"/>
  <c r="H563" i="3"/>
  <c r="F564" i="3"/>
  <c r="H564" i="3"/>
  <c r="F565" i="3"/>
  <c r="H565" i="3"/>
  <c r="F566" i="3"/>
  <c r="H566" i="3"/>
  <c r="F567" i="3"/>
  <c r="H567" i="3"/>
  <c r="F568" i="3"/>
  <c r="H568" i="3"/>
  <c r="F569" i="3"/>
  <c r="H569" i="3"/>
  <c r="H292" i="3"/>
  <c r="F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62" i="3"/>
  <c r="E63" i="3"/>
  <c r="E64" i="3"/>
  <c r="E65" i="3"/>
  <c r="E66" i="3"/>
  <c r="E67" i="3"/>
  <c r="E68" i="3"/>
  <c r="E69" i="3"/>
  <c r="E70" i="3"/>
  <c r="E71" i="3"/>
  <c r="E72" i="3"/>
  <c r="E73" i="3"/>
  <c r="E50" i="3"/>
  <c r="E51" i="3"/>
  <c r="E52" i="3"/>
  <c r="E53" i="3"/>
  <c r="E54" i="3"/>
  <c r="E55" i="3"/>
  <c r="E56" i="3"/>
  <c r="E57" i="3"/>
  <c r="E58" i="3"/>
  <c r="E59" i="3"/>
  <c r="E60" i="3"/>
  <c r="E61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63" i="3"/>
  <c r="E164" i="3"/>
  <c r="E165" i="3"/>
  <c r="E166" i="3"/>
  <c r="E167" i="3"/>
  <c r="E168" i="3"/>
  <c r="E169" i="3"/>
  <c r="E170" i="3"/>
  <c r="E171" i="3"/>
  <c r="E172" i="3"/>
  <c r="E173" i="3"/>
  <c r="E152" i="3"/>
  <c r="E153" i="3"/>
  <c r="E154" i="3"/>
  <c r="E155" i="3"/>
  <c r="E156" i="3"/>
  <c r="E157" i="3"/>
  <c r="E158" i="3"/>
  <c r="E159" i="3"/>
  <c r="E160" i="3"/>
  <c r="E161" i="3"/>
  <c r="E162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17" i="3"/>
  <c r="E318" i="3"/>
  <c r="E319" i="3"/>
  <c r="E320" i="3"/>
  <c r="E321" i="3"/>
  <c r="E322" i="3"/>
  <c r="E323" i="3"/>
  <c r="E324" i="3"/>
  <c r="E325" i="3"/>
  <c r="E326" i="3"/>
  <c r="E327" i="3"/>
  <c r="E306" i="3"/>
  <c r="E307" i="3"/>
  <c r="E308" i="3"/>
  <c r="E309" i="3"/>
  <c r="E310" i="3"/>
  <c r="E311" i="3"/>
  <c r="E312" i="3"/>
  <c r="E313" i="3"/>
  <c r="E314" i="3"/>
  <c r="E315" i="3"/>
  <c r="E316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292" i="3"/>
</calcChain>
</file>

<file path=xl/sharedStrings.xml><?xml version="1.0" encoding="utf-8"?>
<sst xmlns="http://schemas.openxmlformats.org/spreadsheetml/2006/main" count="2610" uniqueCount="528">
  <si>
    <t>album_id</t>
  </si>
  <si>
    <t>country_code</t>
  </si>
  <si>
    <t>album_name</t>
  </si>
  <si>
    <t>release_year</t>
  </si>
  <si>
    <t>release_date</t>
  </si>
  <si>
    <t>label</t>
  </si>
  <si>
    <t>mix</t>
  </si>
  <si>
    <t>Parlophone PMC 1202</t>
  </si>
  <si>
    <t>UK</t>
  </si>
  <si>
    <t>Please Please Me</t>
  </si>
  <si>
    <t>Parlophone</t>
  </si>
  <si>
    <t>Mono</t>
  </si>
  <si>
    <t>Parlophone PCS 3042</t>
  </si>
  <si>
    <t>Stereo</t>
  </si>
  <si>
    <t>Capitol T-2047</t>
  </si>
  <si>
    <t>US</t>
  </si>
  <si>
    <t>Introducing... The Beatles</t>
  </si>
  <si>
    <t>Vee-Jay</t>
  </si>
  <si>
    <t>Capitol ST-2047</t>
  </si>
  <si>
    <t>Parlophone PMC 1206</t>
  </si>
  <si>
    <t>With the Beatles</t>
  </si>
  <si>
    <t>Parlophone PCS 3045</t>
  </si>
  <si>
    <t>Meet the Beatles!</t>
  </si>
  <si>
    <t>Capitol</t>
  </si>
  <si>
    <t>Parlophone PMC 1230</t>
  </si>
  <si>
    <t>A Hard Day's Night</t>
  </si>
  <si>
    <t>Parlophone PCS 3058</t>
  </si>
  <si>
    <t>United Artists UAL 3366</t>
  </si>
  <si>
    <t>United Artists</t>
  </si>
  <si>
    <t>United Artists UAS 6366</t>
  </si>
  <si>
    <t>Parlophone PMC 1240</t>
  </si>
  <si>
    <t>Beatles for Sale</t>
  </si>
  <si>
    <t>Parlophone PCS 3062</t>
  </si>
  <si>
    <t>Capitol T-2228</t>
  </si>
  <si>
    <t>Beatles '65</t>
  </si>
  <si>
    <t>Capitol ST-2228</t>
  </si>
  <si>
    <t>Parlophone PMC 1255</t>
  </si>
  <si>
    <t>Help!</t>
  </si>
  <si>
    <t>Parlophone PCS 3071</t>
  </si>
  <si>
    <t>Capitol MAS-2386</t>
  </si>
  <si>
    <t>Help! (Original Motion Picture Soundtrack)</t>
  </si>
  <si>
    <t>Capitol SMAS-2386</t>
  </si>
  <si>
    <t>Parlophone PMC 1267</t>
  </si>
  <si>
    <t>Rubber Soul</t>
  </si>
  <si>
    <t>Parlophone PCS 3075</t>
  </si>
  <si>
    <t>Capitol T-2442</t>
  </si>
  <si>
    <t>Capitol ST-2442</t>
  </si>
  <si>
    <t>Parlophone PMC 7009</t>
  </si>
  <si>
    <t>Revolver</t>
  </si>
  <si>
    <t>Parlophone PCS 7009</t>
  </si>
  <si>
    <t>Capitol T-2576</t>
  </si>
  <si>
    <t>Capitol ST-2576</t>
  </si>
  <si>
    <t>Parlophone PMC 7027</t>
  </si>
  <si>
    <t>Sgt. Pepper's Lonely Hearts Club Band</t>
  </si>
  <si>
    <t>Parlophone PCS 7027</t>
  </si>
  <si>
    <t>Capitol MAS-2653</t>
  </si>
  <si>
    <t>Capitol SMAS-2653</t>
  </si>
  <si>
    <t>Apple PMC 7067/8</t>
  </si>
  <si>
    <t>The Beatles (White Album)</t>
  </si>
  <si>
    <t>Apple</t>
  </si>
  <si>
    <t>Apple PCS 7067/8</t>
  </si>
  <si>
    <t>Apple SWBO-101</t>
  </si>
  <si>
    <t>Apple PCS 7070</t>
  </si>
  <si>
    <t>Yellow Submarine</t>
  </si>
  <si>
    <t>Apple SW-153</t>
  </si>
  <si>
    <t>Apple PCS 7088</t>
  </si>
  <si>
    <t>Abbey Road</t>
  </si>
  <si>
    <t>Apple SO-383</t>
  </si>
  <si>
    <t>Apple PCS 7096</t>
  </si>
  <si>
    <t>Let It Be</t>
  </si>
  <si>
    <t>Apple AR-34001</t>
  </si>
  <si>
    <t>canonical_album_id</t>
  </si>
  <si>
    <t>canonical_release_year</t>
  </si>
  <si>
    <t>notes</t>
  </si>
  <si>
    <t>CAN001</t>
  </si>
  <si>
    <t>CAN002</t>
  </si>
  <si>
    <t>CAN003</t>
  </si>
  <si>
    <t>CAN004</t>
  </si>
  <si>
    <t>CAN005</t>
  </si>
  <si>
    <t>CAN006</t>
  </si>
  <si>
    <t>CAN007</t>
  </si>
  <si>
    <t>CAN008</t>
  </si>
  <si>
    <t>CAN009</t>
  </si>
  <si>
    <t>CAN010</t>
  </si>
  <si>
    <t>Martin</t>
  </si>
  <si>
    <t>CAN011</t>
  </si>
  <si>
    <t>medley</t>
  </si>
  <si>
    <t>CAN012</t>
  </si>
  <si>
    <t>Debut studio album</t>
  </si>
  <si>
    <t>Second studio album</t>
  </si>
  <si>
    <t>First album of entirely original compositions</t>
  </si>
  <si>
    <t>Fourth studio album</t>
  </si>
  <si>
    <t>Soundtrack in US; studio album in UK</t>
  </si>
  <si>
    <t>Marked stylistic shift toward folk-rock</t>
  </si>
  <si>
    <t>Psychedelic and studio‑innovation milestone</t>
  </si>
  <si>
    <t>Concept‑album landmark</t>
  </si>
  <si>
    <t>Double album with diverse styles</t>
  </si>
  <si>
    <t>Features the famous medley on side two</t>
  </si>
  <si>
    <t>Recorded earlier; released after breakup</t>
  </si>
  <si>
    <t>Half new songs,  half George Martin score</t>
  </si>
  <si>
    <t>release_id</t>
  </si>
  <si>
    <t>track_number</t>
  </si>
  <si>
    <t>track_title</t>
  </si>
  <si>
    <t>writer</t>
  </si>
  <si>
    <t>Drive My Car</t>
  </si>
  <si>
    <t>Lennon–McCartney</t>
  </si>
  <si>
    <t>Norwegian Wood (This Bird Has Flown)</t>
  </si>
  <si>
    <t>You Won't See Me</t>
  </si>
  <si>
    <t>Nowhere Man</t>
  </si>
  <si>
    <t>Think for Yourself</t>
  </si>
  <si>
    <t>Harrison</t>
  </si>
  <si>
    <t>The Word</t>
  </si>
  <si>
    <t>Michelle</t>
  </si>
  <si>
    <t>What Goes On</t>
  </si>
  <si>
    <t>Lennon–McCartney–Starkey</t>
  </si>
  <si>
    <t>Girl</t>
  </si>
  <si>
    <t>I'm Looking Through You</t>
  </si>
  <si>
    <t>In My Life</t>
  </si>
  <si>
    <t>Wait</t>
  </si>
  <si>
    <t>If I Needed Someone</t>
  </si>
  <si>
    <t>Run for Your Life</t>
  </si>
  <si>
    <t>I've Just Seen a Face</t>
  </si>
  <si>
    <t>It's Only Love</t>
  </si>
  <si>
    <t>I Saw Her Standing There</t>
  </si>
  <si>
    <t>Misery</t>
  </si>
  <si>
    <t>Anna (Go to Him)</t>
  </si>
  <si>
    <t>Alexander</t>
  </si>
  <si>
    <t>Chains</t>
  </si>
  <si>
    <t>Goffin–King</t>
  </si>
  <si>
    <t>Boys</t>
  </si>
  <si>
    <t>Dixon–Farrell</t>
  </si>
  <si>
    <t>Ask Me Why</t>
  </si>
  <si>
    <t>Love Me Do</t>
  </si>
  <si>
    <t>P.S. I Love You</t>
  </si>
  <si>
    <t>Baby It's You</t>
  </si>
  <si>
    <t>Davis–Bacharach–Williams</t>
  </si>
  <si>
    <t>Do You Want to Know a Secret</t>
  </si>
  <si>
    <t>A Taste of Honey</t>
  </si>
  <si>
    <t>Marlow–Scott</t>
  </si>
  <si>
    <t>There's a Place</t>
  </si>
  <si>
    <t>Twist and Shout</t>
  </si>
  <si>
    <t>Medley–Russell</t>
  </si>
  <si>
    <t>Vee-Jay VJLP 1062</t>
  </si>
  <si>
    <t>Vee-Jay VJLP 1062-S</t>
  </si>
  <si>
    <t>It Won't Be Long</t>
  </si>
  <si>
    <t>All I've Got to Do</t>
  </si>
  <si>
    <t>All My Loving</t>
  </si>
  <si>
    <t>Don't Bother Me</t>
  </si>
  <si>
    <t>Little Child</t>
  </si>
  <si>
    <t>Till There Was You</t>
  </si>
  <si>
    <t>Willson</t>
  </si>
  <si>
    <t>Please Mister Postman</t>
  </si>
  <si>
    <t>Holland–Bateman–Gorman–Dobbins–Garrett</t>
  </si>
  <si>
    <t>Roll Over Beethoven</t>
  </si>
  <si>
    <t>Berry</t>
  </si>
  <si>
    <t>Hold Me Tight</t>
  </si>
  <si>
    <t>You Really Got a Hold on Me</t>
  </si>
  <si>
    <t>Robinson</t>
  </si>
  <si>
    <t>I Wanna Be Your Man</t>
  </si>
  <si>
    <t>Devil in Her Heart</t>
  </si>
  <si>
    <t>Drapkin</t>
  </si>
  <si>
    <t>Not a Second Time</t>
  </si>
  <si>
    <t>Money (That's What I Want)</t>
  </si>
  <si>
    <t>Bradford–Gordy</t>
  </si>
  <si>
    <t>I Want to Hold Your Hand</t>
  </si>
  <si>
    <t>This Boy</t>
  </si>
  <si>
    <t>I Should Have Known Better</t>
  </si>
  <si>
    <t>If I Fell</t>
  </si>
  <si>
    <t>I'm Happy Just to Dance with You</t>
  </si>
  <si>
    <t>And I Love Her</t>
  </si>
  <si>
    <t>Tell Me Why</t>
  </si>
  <si>
    <t>Can't Buy Me Love</t>
  </si>
  <si>
    <t>Any Time at All</t>
  </si>
  <si>
    <t>I'll Cry Instead</t>
  </si>
  <si>
    <t>Things We Said Today</t>
  </si>
  <si>
    <t>When I Get Home</t>
  </si>
  <si>
    <t>You Can't Do That</t>
  </si>
  <si>
    <t>I'll Be Back</t>
  </si>
  <si>
    <t>I’ll Cry Instead</t>
  </si>
  <si>
    <t>I Should Have Known Better (Instrumental)</t>
  </si>
  <si>
    <t>And I Love Her (Instrumental)</t>
  </si>
  <si>
    <t>Ringo’s Theme (This Boy) (Instrumental)</t>
  </si>
  <si>
    <t>A Hard Day's Night (Instrumental)</t>
  </si>
  <si>
    <t>No Reply</t>
  </si>
  <si>
    <t>I'm a Loser</t>
  </si>
  <si>
    <t>Baby's in Black</t>
  </si>
  <si>
    <t>Rock and Roll Music</t>
  </si>
  <si>
    <t>I'll Follow the Sun</t>
  </si>
  <si>
    <t>Mr. Moonlight</t>
  </si>
  <si>
    <t>Johnson</t>
  </si>
  <si>
    <t>Kansas City/Hey-Hey-Hey-Hey</t>
  </si>
  <si>
    <t>Leiber–Stoller/Penniman</t>
  </si>
  <si>
    <t>Eight Days a Week</t>
  </si>
  <si>
    <t>Words of Love</t>
  </si>
  <si>
    <t>Holly</t>
  </si>
  <si>
    <t>Honey Don't</t>
  </si>
  <si>
    <t>Perkins</t>
  </si>
  <si>
    <t>Every Little Thing</t>
  </si>
  <si>
    <t>I Don't Want to Spoil the Party</t>
  </si>
  <si>
    <t>What You're Doing</t>
  </si>
  <si>
    <t>Everybody's Trying to Be My Baby</t>
  </si>
  <si>
    <t>She's a Woman</t>
  </si>
  <si>
    <t>I Feel Fine</t>
  </si>
  <si>
    <t>The Night Before</t>
  </si>
  <si>
    <t>You've Got to Hide Your Love Away</t>
  </si>
  <si>
    <t>I Need You</t>
  </si>
  <si>
    <t>Another Girl</t>
  </si>
  <si>
    <t>You're Going to Lose That Girl</t>
  </si>
  <si>
    <t>Ticket to Ride</t>
  </si>
  <si>
    <t>Act Naturally</t>
  </si>
  <si>
    <t>Russell–Morrison</t>
  </si>
  <si>
    <t>You Like Me Too Much</t>
  </si>
  <si>
    <t>Tell Me What You See</t>
  </si>
  <si>
    <t>Yesterday</t>
  </si>
  <si>
    <t>Dizzy Miss Lizzy</t>
  </si>
  <si>
    <t>Williams</t>
  </si>
  <si>
    <t>From Me to You Fantasy (Instrumental)</t>
  </si>
  <si>
    <t>In the Tyrol (Instrumental)</t>
  </si>
  <si>
    <t>Another Hard Day's Night (Instrumental)</t>
  </si>
  <si>
    <t>The Bitter End/You Can't Do That (Instrumental)</t>
  </si>
  <si>
    <t>The Chase (Instrumental)</t>
  </si>
  <si>
    <t>Taxman</t>
  </si>
  <si>
    <t>Eleanor Rigby</t>
  </si>
  <si>
    <t>I'm Only Sleeping</t>
  </si>
  <si>
    <t>Love You To</t>
  </si>
  <si>
    <t>Here There and Everywhere</t>
  </si>
  <si>
    <t>She Said She Said</t>
  </si>
  <si>
    <t>Good Day Sunshine</t>
  </si>
  <si>
    <t>And Your Bird Can Sing</t>
  </si>
  <si>
    <t>For No One</t>
  </si>
  <si>
    <t>Doctor Robert</t>
  </si>
  <si>
    <t>I Want to Tell You</t>
  </si>
  <si>
    <t>Got to Get You into My Life</t>
  </si>
  <si>
    <t>Tomorrow Never Knows</t>
  </si>
  <si>
    <t>With a Little Help from My Friends</t>
  </si>
  <si>
    <t>Lucy in the Sky with Diamonds</t>
  </si>
  <si>
    <t>Getting Better</t>
  </si>
  <si>
    <t>Fixing a Hole</t>
  </si>
  <si>
    <t>She's Leaving Home</t>
  </si>
  <si>
    <t>Being for the Benefit of Mr. Kite!</t>
  </si>
  <si>
    <t>Within You Without You</t>
  </si>
  <si>
    <t>When I'm Sixty-Four</t>
  </si>
  <si>
    <t>Lovely Rita</t>
  </si>
  <si>
    <t>Good Morning Good Morning</t>
  </si>
  <si>
    <t>Sgt. Pepper's Lonely Hearts Club Band (Reprise)</t>
  </si>
  <si>
    <t>A Day in the Life</t>
  </si>
  <si>
    <t>Back in the U.S.S.R.</t>
  </si>
  <si>
    <t>Dear Prudence</t>
  </si>
  <si>
    <t>Glass Onion</t>
  </si>
  <si>
    <t>Ob-La-Di Ob-La-Da</t>
  </si>
  <si>
    <t>Wild Honey Pie</t>
  </si>
  <si>
    <t>The Continuing Story of Bungalow Bill</t>
  </si>
  <si>
    <t>While My Guitar Gently Weeps</t>
  </si>
  <si>
    <t>Happiness Is a Warm Gun</t>
  </si>
  <si>
    <t>Martha My Dear</t>
  </si>
  <si>
    <t>I'm So Tired</t>
  </si>
  <si>
    <t>Blackbird</t>
  </si>
  <si>
    <t>Piggies</t>
  </si>
  <si>
    <t>Rocky Raccoon</t>
  </si>
  <si>
    <t>Don't Pass Me By</t>
  </si>
  <si>
    <t>Starkey</t>
  </si>
  <si>
    <t>Why Don't We Do It in the Road?</t>
  </si>
  <si>
    <t>I Will</t>
  </si>
  <si>
    <t>Julia</t>
  </si>
  <si>
    <t>Birthday</t>
  </si>
  <si>
    <t>Yer Blues</t>
  </si>
  <si>
    <t>Mother Nature's Son</t>
  </si>
  <si>
    <t>Everybody's Got Something to Hide Except Me and My Monkey</t>
  </si>
  <si>
    <t>Sexy Sadie</t>
  </si>
  <si>
    <t>Helter Skelter</t>
  </si>
  <si>
    <t>Long Long Long</t>
  </si>
  <si>
    <t>Revolution 1</t>
  </si>
  <si>
    <t>Honey Pie</t>
  </si>
  <si>
    <t>Savoy Truffle</t>
  </si>
  <si>
    <t>Cry Baby Cry</t>
  </si>
  <si>
    <t>Revolution 9</t>
  </si>
  <si>
    <t>Good Night</t>
  </si>
  <si>
    <t>Only a Northern Song</t>
  </si>
  <si>
    <t>All Together Now</t>
  </si>
  <si>
    <t>Hey Bulldog</t>
  </si>
  <si>
    <t>It's All Too Much</t>
  </si>
  <si>
    <t>All You Need Is Love</t>
  </si>
  <si>
    <t>Pepperland</t>
  </si>
  <si>
    <t>Sea of Time</t>
  </si>
  <si>
    <t>Sea of Holes</t>
  </si>
  <si>
    <t>Sea of Monsters</t>
  </si>
  <si>
    <t>March of the Meanies</t>
  </si>
  <si>
    <t>Pepperland Laid Waste</t>
  </si>
  <si>
    <t>Yellow Submarine in Pepperland</t>
  </si>
  <si>
    <t>Come Together</t>
  </si>
  <si>
    <t>Something</t>
  </si>
  <si>
    <t>Maxwell's Silver Hammer</t>
  </si>
  <si>
    <t>Oh! Darling</t>
  </si>
  <si>
    <t>Octopus's Garden</t>
  </si>
  <si>
    <t>I Want You (She's So Heavy)</t>
  </si>
  <si>
    <t>Here Comes the Sun</t>
  </si>
  <si>
    <t>Because</t>
  </si>
  <si>
    <t>You Never Give Me Your Money</t>
  </si>
  <si>
    <t>Sun King</t>
  </si>
  <si>
    <t>Mean Mr. Mustard</t>
  </si>
  <si>
    <t>Polythene Pam</t>
  </si>
  <si>
    <t>She Came In Through the Bathroom Window</t>
  </si>
  <si>
    <t>Golden Slumbers</t>
  </si>
  <si>
    <t>Carry That Weight</t>
  </si>
  <si>
    <t>The End</t>
  </si>
  <si>
    <t>Her Majesty</t>
  </si>
  <si>
    <t>Two of Us</t>
  </si>
  <si>
    <t>Dig a Pony</t>
  </si>
  <si>
    <t>Across the Universe</t>
  </si>
  <si>
    <t>I Me Mine</t>
  </si>
  <si>
    <t>Dig It</t>
  </si>
  <si>
    <t>Lennon–McCartney–Harrison–Starkey</t>
  </si>
  <si>
    <t>Maggie Mae</t>
  </si>
  <si>
    <t>Traditional</t>
  </si>
  <si>
    <t>I've Got a Feeling</t>
  </si>
  <si>
    <t>One After 909</t>
  </si>
  <si>
    <t>The Long and Winding Road</t>
  </si>
  <si>
    <t>For You Blue</t>
  </si>
  <si>
    <t>Get Back</t>
  </si>
  <si>
    <t>canonical_album_name</t>
  </si>
  <si>
    <t>canonical_song_id</t>
  </si>
  <si>
    <t>song_title</t>
  </si>
  <si>
    <t>CANSONG001</t>
  </si>
  <si>
    <t>CANSONG002</t>
  </si>
  <si>
    <t>CANSONG003</t>
  </si>
  <si>
    <t>CANSONG004</t>
  </si>
  <si>
    <t>CANSONG005</t>
  </si>
  <si>
    <t>CANSONG006</t>
  </si>
  <si>
    <t>CANSONG007</t>
  </si>
  <si>
    <t>CANSONG008</t>
  </si>
  <si>
    <t>CANSONG009</t>
  </si>
  <si>
    <t>CANSONG010</t>
  </si>
  <si>
    <t>CANSONG011</t>
  </si>
  <si>
    <t>CANSONG012</t>
  </si>
  <si>
    <t>CANSONG013</t>
  </si>
  <si>
    <t>CANSONG014</t>
  </si>
  <si>
    <t>CANSONG015</t>
  </si>
  <si>
    <t>CANSONG016</t>
  </si>
  <si>
    <t>CANSONG017</t>
  </si>
  <si>
    <t>CANSONG018</t>
  </si>
  <si>
    <t>CANSONG019</t>
  </si>
  <si>
    <t>CANSONG020</t>
  </si>
  <si>
    <t>CANSONG021</t>
  </si>
  <si>
    <t>CANSONG022</t>
  </si>
  <si>
    <t>CANSONG023</t>
  </si>
  <si>
    <t>CANSONG024</t>
  </si>
  <si>
    <t>CANSONG025</t>
  </si>
  <si>
    <t>CANSONG026</t>
  </si>
  <si>
    <t>CANSONG027</t>
  </si>
  <si>
    <t>CANSONG028</t>
  </si>
  <si>
    <t>CANSONG029</t>
  </si>
  <si>
    <t>CANSONG030</t>
  </si>
  <si>
    <t>CANSONG031</t>
  </si>
  <si>
    <t>CANSONG032</t>
  </si>
  <si>
    <t>CANSONG033</t>
  </si>
  <si>
    <t>CANSONG034</t>
  </si>
  <si>
    <t>CANSONG035</t>
  </si>
  <si>
    <t>CANSONG036</t>
  </si>
  <si>
    <t>CANSONG037</t>
  </si>
  <si>
    <t>CANSONG038</t>
  </si>
  <si>
    <t>CANSONG039</t>
  </si>
  <si>
    <t>CANSONG040</t>
  </si>
  <si>
    <t>CANSONG041</t>
  </si>
  <si>
    <t>CANSONG042</t>
  </si>
  <si>
    <t>CANSONG043</t>
  </si>
  <si>
    <t>CANSONG044</t>
  </si>
  <si>
    <t>CANSONG045</t>
  </si>
  <si>
    <t>CANSONG046</t>
  </si>
  <si>
    <t>CANSONG047</t>
  </si>
  <si>
    <t>CANSONG048</t>
  </si>
  <si>
    <t>CANSONG049</t>
  </si>
  <si>
    <t>CANSONG050</t>
  </si>
  <si>
    <t>CANSONG051</t>
  </si>
  <si>
    <t>CANSONG052</t>
  </si>
  <si>
    <t>CANSONG053</t>
  </si>
  <si>
    <t>CANSONG054</t>
  </si>
  <si>
    <t>CANSONG055</t>
  </si>
  <si>
    <t>CANSONG056</t>
  </si>
  <si>
    <t>CANSONG057</t>
  </si>
  <si>
    <t>How Do You Do It (Instrumental)</t>
  </si>
  <si>
    <t>appears only in US soundtrack cues</t>
  </si>
  <si>
    <t>CANSONG058</t>
  </si>
  <si>
    <t>I Am the Walrus (Instrumental Excerpt)</t>
  </si>
  <si>
    <t>CANSONG059</t>
  </si>
  <si>
    <t>I Call Your Name (Instrumental)</t>
  </si>
  <si>
    <t>CANSONG060</t>
  </si>
  <si>
    <t>CANSONG061</t>
  </si>
  <si>
    <t>CANSONG062</t>
  </si>
  <si>
    <t>CANSONG063</t>
  </si>
  <si>
    <t>CANSONG064</t>
  </si>
  <si>
    <t>CANSONG065</t>
  </si>
  <si>
    <t>CANSONG066</t>
  </si>
  <si>
    <t>CANSONG067</t>
  </si>
  <si>
    <t>CANSONG068</t>
  </si>
  <si>
    <t>CANSONG069</t>
  </si>
  <si>
    <t>CANSONG070</t>
  </si>
  <si>
    <t>CANSONG071</t>
  </si>
  <si>
    <t>CANSONG072</t>
  </si>
  <si>
    <t>CANSONG073</t>
  </si>
  <si>
    <t>CANSONG074</t>
  </si>
  <si>
    <t>CANSONG075</t>
  </si>
  <si>
    <t>CANSONG076</t>
  </si>
  <si>
    <t>CANSONG077</t>
  </si>
  <si>
    <t>CANSONG078</t>
  </si>
  <si>
    <t>CANSONG079</t>
  </si>
  <si>
    <t>CANSONG080</t>
  </si>
  <si>
    <t>CANSONG081</t>
  </si>
  <si>
    <t>CANSONG082</t>
  </si>
  <si>
    <t>CANSONG083</t>
  </si>
  <si>
    <t>CANSONG084</t>
  </si>
  <si>
    <t>CANSONG085</t>
  </si>
  <si>
    <t>CANSONG086</t>
  </si>
  <si>
    <t>CANSONG087</t>
  </si>
  <si>
    <t>CANSONG088</t>
  </si>
  <si>
    <t>CANSONG089</t>
  </si>
  <si>
    <t>CANSONG090</t>
  </si>
  <si>
    <t>CANSONG091</t>
  </si>
  <si>
    <t>Long Tall Sally (Instrumental)</t>
  </si>
  <si>
    <t>US soundtrack cue</t>
  </si>
  <si>
    <t>CANSONG092</t>
  </si>
  <si>
    <t>CANSONG093</t>
  </si>
  <si>
    <t>CANSONG094</t>
  </si>
  <si>
    <t>CANSONG095</t>
  </si>
  <si>
    <t>CANSONG096</t>
  </si>
  <si>
    <t>CANSONG097</t>
  </si>
  <si>
    <t>CANSONG098</t>
  </si>
  <si>
    <t>CANSONG099</t>
  </si>
  <si>
    <t>CANSONG100</t>
  </si>
  <si>
    <t>CANSONG101</t>
  </si>
  <si>
    <t>CANSONG102</t>
  </si>
  <si>
    <t>CANSONG103</t>
  </si>
  <si>
    <t>CANSONG104</t>
  </si>
  <si>
    <t>CANSONG105</t>
  </si>
  <si>
    <t>CANSONG106</t>
  </si>
  <si>
    <t>CANSONG107</t>
  </si>
  <si>
    <t>CANSONG108</t>
  </si>
  <si>
    <t>CANSONG109</t>
  </si>
  <si>
    <t>CANSONG110</t>
  </si>
  <si>
    <t>CANSONG111</t>
  </si>
  <si>
    <t>CANSONG112</t>
  </si>
  <si>
    <t>CANSONG113</t>
  </si>
  <si>
    <t>CANSONG114</t>
  </si>
  <si>
    <t>CANSONG115</t>
  </si>
  <si>
    <t>CANSONG116</t>
  </si>
  <si>
    <t>CANSONG117</t>
  </si>
  <si>
    <t>CANSONG118</t>
  </si>
  <si>
    <t>CANSONG119</t>
  </si>
  <si>
    <t>CANSONG120</t>
  </si>
  <si>
    <t>CANSONG121</t>
  </si>
  <si>
    <t>CANSONG122</t>
  </si>
  <si>
    <t>CANSONG123</t>
  </si>
  <si>
    <t>CANSONG124</t>
  </si>
  <si>
    <t>CANSONG125</t>
  </si>
  <si>
    <t>CANSONG126</t>
  </si>
  <si>
    <t>CANSONG127</t>
  </si>
  <si>
    <t>CANSONG128</t>
  </si>
  <si>
    <t>CANSONG129</t>
  </si>
  <si>
    <t>CANSONG130</t>
  </si>
  <si>
    <t>CANSONG131</t>
  </si>
  <si>
    <t>CANSONG132</t>
  </si>
  <si>
    <t>CANSONG133</t>
  </si>
  <si>
    <t>CANSONG134</t>
  </si>
  <si>
    <t>CANSONG135</t>
  </si>
  <si>
    <t>CANSONG136</t>
  </si>
  <si>
    <t>CANSONG137</t>
  </si>
  <si>
    <t>CANSONG138</t>
  </si>
  <si>
    <t>CANSONG139</t>
  </si>
  <si>
    <t>CANSONG140</t>
  </si>
  <si>
    <t>CANSONG141</t>
  </si>
  <si>
    <t>CANSONG142</t>
  </si>
  <si>
    <t>CANSONG143</t>
  </si>
  <si>
    <t>CANSONG144</t>
  </si>
  <si>
    <t>CANSONG145</t>
  </si>
  <si>
    <t>CANSONG146</t>
  </si>
  <si>
    <t>CANSONG147</t>
  </si>
  <si>
    <t>CANSONG148</t>
  </si>
  <si>
    <t>CANSONG149</t>
  </si>
  <si>
    <t>CANSONG150</t>
  </si>
  <si>
    <t>CANSONG151</t>
  </si>
  <si>
    <t>CANSONG152</t>
  </si>
  <si>
    <t>CANSONG153</t>
  </si>
  <si>
    <t>CANSONG154</t>
  </si>
  <si>
    <t>We Can Work It Out (Instrumental)</t>
  </si>
  <si>
    <t>CANSONG155</t>
  </si>
  <si>
    <t>CANSONG156</t>
  </si>
  <si>
    <t>CANSONG157</t>
  </si>
  <si>
    <t>CANSONG158</t>
  </si>
  <si>
    <t>CANSONG159</t>
  </si>
  <si>
    <t>CANSONG160</t>
  </si>
  <si>
    <t>CANSONG161</t>
  </si>
  <si>
    <t>CANSONG162</t>
  </si>
  <si>
    <t>CANSONG163</t>
  </si>
  <si>
    <t>CANSONG164</t>
  </si>
  <si>
    <t>CANSONG165</t>
  </si>
  <si>
    <t>CANSONG166</t>
  </si>
  <si>
    <t>CANSONG167</t>
  </si>
  <si>
    <t>CANSONG168</t>
  </si>
  <si>
    <t>CANSONG169</t>
  </si>
  <si>
    <t>CANSONG170</t>
  </si>
  <si>
    <t>CANSONG171</t>
  </si>
  <si>
    <t>album_number</t>
  </si>
  <si>
    <t>album_no</t>
  </si>
  <si>
    <t>country</t>
  </si>
  <si>
    <t>image_name</t>
  </si>
  <si>
    <t>please_please_me.png</t>
  </si>
  <si>
    <t>introducing_the_beatles.png</t>
  </si>
  <si>
    <t>with_the_beatles.png</t>
  </si>
  <si>
    <t>meet_the_beatles.png</t>
  </si>
  <si>
    <t>hard_days_night_uk_mono.png</t>
  </si>
  <si>
    <t>hard_days_night_uk_stereo.png</t>
  </si>
  <si>
    <t>hard_days_night_us_mono.png</t>
  </si>
  <si>
    <t>hard_days_night_us_stereo.png</t>
  </si>
  <si>
    <t>beatles_for_sale_uk_mono.png</t>
  </si>
  <si>
    <t>beatles_for_sale_uk_stereo.png</t>
  </si>
  <si>
    <t>beatles_65_us_mono.png</t>
  </si>
  <si>
    <t>beatles_65_us_stereo.png</t>
  </si>
  <si>
    <t>help_uk_mono.png</t>
  </si>
  <si>
    <t>help_uk_stereo.png</t>
  </si>
  <si>
    <t>help_us_mono.png</t>
  </si>
  <si>
    <t>help_us_stereo.png</t>
  </si>
  <si>
    <t>rubber_soul.png</t>
  </si>
  <si>
    <t>revolver_uk.png</t>
  </si>
  <si>
    <t>revolver_us.png</t>
  </si>
  <si>
    <t>sgt_peppers.png</t>
  </si>
  <si>
    <t>white_album.png</t>
  </si>
  <si>
    <t>yellow_submarine.png</t>
  </si>
  <si>
    <t>abbey_road.png</t>
  </si>
  <si>
    <t>let_it_be.png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</si>
</sst>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F6AC-6882-48AB-ABAF-0CB7ED81100B}">
  <dimension ref="A1:K42"/>
  <sheetViews>
    <sheetView topLeftCell="A20" zoomScaleNormal="100" workbookViewId="0">
      <selection activeCell="A38" sqref="A38"/>
    </sheetView>
  </sheetViews>
  <sheetFormatPr defaultRowHeight="15" x14ac:dyDescent="0.25"/>
  <cols>
    <col min="1" max="1" width="21.42578125" bestFit="1" customWidth="1"/>
    <col min="2" max="2" width="14.5703125" style="6" bestFit="1" customWidth="1"/>
    <col min="3" max="3" width="12.7109375" style="6" bestFit="1" customWidth="1"/>
    <col min="4" max="4" width="39.28515625" bestFit="1" customWidth="1"/>
    <col min="5" max="5" width="12" style="6" bestFit="1" customWidth="1"/>
    <col min="6" max="6" width="12.140625" bestFit="1" customWidth="1"/>
    <col min="7" max="7" width="12.7109375" bestFit="1" customWidth="1"/>
    <col min="8" max="8" width="6.42578125" bestFit="1" customWidth="1"/>
    <col min="9" max="9" width="19.28515625" style="6" bestFit="1" customWidth="1"/>
    <col min="10" max="10" width="34.5703125" style="7" bestFit="1" customWidth="1"/>
    <col min="11" max="11" width="35" bestFit="1" customWidth="1"/>
  </cols>
  <sheetData>
    <row r="1" spans="1:11" s="2" customFormat="1" x14ac:dyDescent="0.25">
      <c r="A1" s="2" t="s">
        <v>0</v>
      </c>
      <c r="B1" s="5" t="s">
        <v>500</v>
      </c>
      <c r="C1" s="5" t="s">
        <v>1</v>
      </c>
      <c r="D1" s="2" t="s">
        <v>2</v>
      </c>
      <c r="E1" s="5" t="s">
        <v>3</v>
      </c>
      <c r="F1" s="2" t="s">
        <v>4</v>
      </c>
      <c r="G1" s="2" t="s">
        <v>5</v>
      </c>
      <c r="H1" s="2" t="s">
        <v>6</v>
      </c>
      <c r="I1" s="5" t="s">
        <v>71</v>
      </c>
      <c r="J1" s="8" t="s">
        <v>319</v>
      </c>
      <c r="K1" s="2" t="s">
        <v>503</v>
      </c>
    </row>
    <row r="2" spans="1:11" x14ac:dyDescent="0.25">
      <c r="A2" t="s">
        <v>7</v>
      </c>
      <c r="B2" s="6">
        <v>1</v>
      </c>
      <c r="C2" s="6" t="s">
        <v>8</v>
      </c>
      <c r="D2" t="s">
        <v>9</v>
      </c>
      <c r="E2" s="6">
        <v>1963</v>
      </c>
      <c r="F2" s="1">
        <v>23092</v>
      </c>
      <c r="G2" t="s">
        <v>10</v>
      </c>
      <c r="H2" t="s">
        <v>11</v>
      </c>
      <c r="I2" s="6" t="s">
        <v>74</v>
      </c>
      <c r="J2" s="9" t="str">
        <f t="shared" ref="J2:J42" si="0">VLOOKUP(I2,canonical_album,2,FALSE)</f>
        <v>Please Please Me</v>
      </c>
      <c r="K2" t="s">
        <v>504</v>
      </c>
    </row>
    <row r="3" spans="1:11" x14ac:dyDescent="0.25">
      <c r="A3" t="s">
        <v>12</v>
      </c>
      <c r="B3" s="6">
        <v>1</v>
      </c>
      <c r="C3" s="6" t="s">
        <v>8</v>
      </c>
      <c r="D3" t="s">
        <v>9</v>
      </c>
      <c r="E3" s="6">
        <v>1963</v>
      </c>
      <c r="F3" s="1">
        <v>23092</v>
      </c>
      <c r="G3" t="s">
        <v>10</v>
      </c>
      <c r="H3" t="s">
        <v>13</v>
      </c>
      <c r="I3" s="6" t="s">
        <v>74</v>
      </c>
      <c r="J3" s="9" t="str">
        <f t="shared" si="0"/>
        <v>Please Please Me</v>
      </c>
      <c r="K3" t="s">
        <v>504</v>
      </c>
    </row>
    <row r="4" spans="1:11" x14ac:dyDescent="0.25">
      <c r="A4" t="s">
        <v>142</v>
      </c>
      <c r="B4" s="6">
        <v>1</v>
      </c>
      <c r="C4" s="6" t="s">
        <v>15</v>
      </c>
      <c r="D4" t="s">
        <v>16</v>
      </c>
      <c r="E4" s="6">
        <v>1964</v>
      </c>
      <c r="F4" s="1">
        <v>23386</v>
      </c>
      <c r="G4" t="s">
        <v>17</v>
      </c>
      <c r="H4" t="s">
        <v>11</v>
      </c>
      <c r="I4" s="6" t="s">
        <v>74</v>
      </c>
      <c r="J4" s="9" t="str">
        <f t="shared" si="0"/>
        <v>Please Please Me</v>
      </c>
      <c r="K4" t="s">
        <v>505</v>
      </c>
    </row>
    <row r="5" spans="1:11" x14ac:dyDescent="0.25">
      <c r="A5" t="s">
        <v>143</v>
      </c>
      <c r="B5" s="6">
        <v>1</v>
      </c>
      <c r="C5" s="6" t="s">
        <v>15</v>
      </c>
      <c r="D5" t="s">
        <v>16</v>
      </c>
      <c r="E5" s="6">
        <v>1964</v>
      </c>
      <c r="F5" s="1">
        <v>23386</v>
      </c>
      <c r="G5" t="s">
        <v>17</v>
      </c>
      <c r="H5" t="s">
        <v>13</v>
      </c>
      <c r="I5" s="6" t="s">
        <v>74</v>
      </c>
      <c r="J5" s="9" t="str">
        <f t="shared" si="0"/>
        <v>Please Please Me</v>
      </c>
      <c r="K5" t="s">
        <v>505</v>
      </c>
    </row>
    <row r="6" spans="1:11" x14ac:dyDescent="0.25">
      <c r="A6" t="s">
        <v>19</v>
      </c>
      <c r="B6" s="6">
        <v>2</v>
      </c>
      <c r="C6" s="6" t="s">
        <v>8</v>
      </c>
      <c r="D6" t="s">
        <v>20</v>
      </c>
      <c r="E6" s="6">
        <v>1963</v>
      </c>
      <c r="F6" s="1">
        <v>23337</v>
      </c>
      <c r="G6" t="s">
        <v>10</v>
      </c>
      <c r="H6" t="s">
        <v>11</v>
      </c>
      <c r="I6" s="6" t="s">
        <v>75</v>
      </c>
      <c r="J6" s="9" t="str">
        <f t="shared" si="0"/>
        <v>With the Beatles</v>
      </c>
      <c r="K6" t="s">
        <v>506</v>
      </c>
    </row>
    <row r="7" spans="1:11" x14ac:dyDescent="0.25">
      <c r="A7" t="s">
        <v>21</v>
      </c>
      <c r="B7" s="6">
        <v>2</v>
      </c>
      <c r="C7" s="6" t="s">
        <v>8</v>
      </c>
      <c r="D7" t="s">
        <v>20</v>
      </c>
      <c r="E7" s="6">
        <v>1963</v>
      </c>
      <c r="F7" s="1">
        <v>23337</v>
      </c>
      <c r="G7" t="s">
        <v>10</v>
      </c>
      <c r="H7" t="s">
        <v>13</v>
      </c>
      <c r="I7" s="6" t="s">
        <v>75</v>
      </c>
      <c r="J7" s="9" t="str">
        <f t="shared" si="0"/>
        <v>With the Beatles</v>
      </c>
      <c r="K7" t="s">
        <v>506</v>
      </c>
    </row>
    <row r="8" spans="1:11" x14ac:dyDescent="0.25">
      <c r="A8" t="s">
        <v>14</v>
      </c>
      <c r="B8" s="6">
        <v>2</v>
      </c>
      <c r="C8" s="6" t="s">
        <v>15</v>
      </c>
      <c r="D8" t="s">
        <v>22</v>
      </c>
      <c r="E8" s="6">
        <v>1964</v>
      </c>
      <c r="F8" s="1">
        <v>23396</v>
      </c>
      <c r="G8" t="s">
        <v>23</v>
      </c>
      <c r="H8" t="s">
        <v>11</v>
      </c>
      <c r="I8" s="6" t="s">
        <v>75</v>
      </c>
      <c r="J8" s="9" t="str">
        <f t="shared" si="0"/>
        <v>With the Beatles</v>
      </c>
      <c r="K8" t="s">
        <v>507</v>
      </c>
    </row>
    <row r="9" spans="1:11" x14ac:dyDescent="0.25">
      <c r="A9" t="s">
        <v>18</v>
      </c>
      <c r="B9" s="6">
        <v>2</v>
      </c>
      <c r="C9" s="6" t="s">
        <v>15</v>
      </c>
      <c r="D9" t="s">
        <v>22</v>
      </c>
      <c r="E9" s="6">
        <v>1964</v>
      </c>
      <c r="F9" s="1">
        <v>23396</v>
      </c>
      <c r="G9" t="s">
        <v>23</v>
      </c>
      <c r="H9" t="s">
        <v>13</v>
      </c>
      <c r="I9" s="6" t="s">
        <v>75</v>
      </c>
      <c r="J9" s="9" t="str">
        <f t="shared" si="0"/>
        <v>With the Beatles</v>
      </c>
      <c r="K9" t="s">
        <v>507</v>
      </c>
    </row>
    <row r="10" spans="1:11" x14ac:dyDescent="0.25">
      <c r="A10" t="s">
        <v>24</v>
      </c>
      <c r="B10" s="6">
        <v>3</v>
      </c>
      <c r="C10" s="6" t="s">
        <v>8</v>
      </c>
      <c r="D10" t="s">
        <v>25</v>
      </c>
      <c r="E10" s="6">
        <v>1964</v>
      </c>
      <c r="F10" s="1">
        <v>23568</v>
      </c>
      <c r="G10" t="s">
        <v>10</v>
      </c>
      <c r="H10" t="s">
        <v>11</v>
      </c>
      <c r="I10" s="6" t="s">
        <v>76</v>
      </c>
      <c r="J10" s="9" t="str">
        <f t="shared" si="0"/>
        <v>A Hard Day's Night</v>
      </c>
      <c r="K10" t="s">
        <v>508</v>
      </c>
    </row>
    <row r="11" spans="1:11" x14ac:dyDescent="0.25">
      <c r="A11" t="s">
        <v>26</v>
      </c>
      <c r="B11" s="6">
        <v>3</v>
      </c>
      <c r="C11" s="6" t="s">
        <v>8</v>
      </c>
      <c r="D11" t="s">
        <v>25</v>
      </c>
      <c r="E11" s="6">
        <v>1964</v>
      </c>
      <c r="F11" s="1">
        <v>23568</v>
      </c>
      <c r="G11" t="s">
        <v>10</v>
      </c>
      <c r="H11" t="s">
        <v>13</v>
      </c>
      <c r="I11" s="6" t="s">
        <v>76</v>
      </c>
      <c r="J11" s="9" t="str">
        <f t="shared" si="0"/>
        <v>A Hard Day's Night</v>
      </c>
      <c r="K11" t="s">
        <v>509</v>
      </c>
    </row>
    <row r="12" spans="1:11" x14ac:dyDescent="0.25">
      <c r="A12" t="s">
        <v>27</v>
      </c>
      <c r="B12" s="6">
        <v>3</v>
      </c>
      <c r="C12" s="6" t="s">
        <v>15</v>
      </c>
      <c r="D12" t="s">
        <v>25</v>
      </c>
      <c r="E12" s="6">
        <v>1964</v>
      </c>
      <c r="F12" s="1">
        <v>23554</v>
      </c>
      <c r="G12" t="s">
        <v>28</v>
      </c>
      <c r="H12" t="s">
        <v>11</v>
      </c>
      <c r="I12" s="6" t="s">
        <v>76</v>
      </c>
      <c r="J12" s="9" t="str">
        <f t="shared" si="0"/>
        <v>A Hard Day's Night</v>
      </c>
      <c r="K12" t="s">
        <v>510</v>
      </c>
    </row>
    <row r="13" spans="1:11" x14ac:dyDescent="0.25">
      <c r="A13" t="s">
        <v>29</v>
      </c>
      <c r="B13" s="6">
        <v>3</v>
      </c>
      <c r="C13" s="6" t="s">
        <v>15</v>
      </c>
      <c r="D13" t="s">
        <v>25</v>
      </c>
      <c r="E13" s="6">
        <v>1964</v>
      </c>
      <c r="F13" s="1">
        <v>23554</v>
      </c>
      <c r="G13" t="s">
        <v>28</v>
      </c>
      <c r="H13" t="s">
        <v>13</v>
      </c>
      <c r="I13" s="6" t="s">
        <v>76</v>
      </c>
      <c r="J13" s="9" t="str">
        <f t="shared" si="0"/>
        <v>A Hard Day's Night</v>
      </c>
      <c r="K13" t="s">
        <v>511</v>
      </c>
    </row>
    <row r="14" spans="1:11" x14ac:dyDescent="0.25">
      <c r="A14" t="s">
        <v>30</v>
      </c>
      <c r="B14" s="6">
        <v>4</v>
      </c>
      <c r="C14" s="6" t="s">
        <v>8</v>
      </c>
      <c r="D14" t="s">
        <v>31</v>
      </c>
      <c r="E14" s="6">
        <v>1964</v>
      </c>
      <c r="F14" s="1">
        <v>23715</v>
      </c>
      <c r="G14" t="s">
        <v>10</v>
      </c>
      <c r="H14" t="s">
        <v>11</v>
      </c>
      <c r="I14" s="6" t="s">
        <v>77</v>
      </c>
      <c r="J14" s="9" t="str">
        <f t="shared" si="0"/>
        <v>Beatles for Sale</v>
      </c>
      <c r="K14" t="s">
        <v>512</v>
      </c>
    </row>
    <row r="15" spans="1:11" x14ac:dyDescent="0.25">
      <c r="A15" t="s">
        <v>32</v>
      </c>
      <c r="B15" s="6">
        <v>4</v>
      </c>
      <c r="C15" s="6" t="s">
        <v>8</v>
      </c>
      <c r="D15" t="s">
        <v>31</v>
      </c>
      <c r="E15" s="6">
        <v>1964</v>
      </c>
      <c r="F15" s="1">
        <v>23715</v>
      </c>
      <c r="G15" t="s">
        <v>10</v>
      </c>
      <c r="H15" t="s">
        <v>13</v>
      </c>
      <c r="I15" s="6" t="s">
        <v>77</v>
      </c>
      <c r="J15" s="9" t="str">
        <f t="shared" si="0"/>
        <v>Beatles for Sale</v>
      </c>
      <c r="K15" t="s">
        <v>513</v>
      </c>
    </row>
    <row r="16" spans="1:11" x14ac:dyDescent="0.25">
      <c r="A16" t="s">
        <v>33</v>
      </c>
      <c r="B16" s="6">
        <v>4</v>
      </c>
      <c r="C16" s="6" t="s">
        <v>15</v>
      </c>
      <c r="D16" t="s">
        <v>34</v>
      </c>
      <c r="E16" s="6">
        <v>1964</v>
      </c>
      <c r="F16" s="1">
        <v>23726</v>
      </c>
      <c r="G16" t="s">
        <v>23</v>
      </c>
      <c r="H16" t="s">
        <v>11</v>
      </c>
      <c r="I16" s="6" t="s">
        <v>77</v>
      </c>
      <c r="J16" s="9" t="str">
        <f t="shared" si="0"/>
        <v>Beatles for Sale</v>
      </c>
      <c r="K16" t="s">
        <v>514</v>
      </c>
    </row>
    <row r="17" spans="1:11" x14ac:dyDescent="0.25">
      <c r="A17" t="s">
        <v>35</v>
      </c>
      <c r="B17" s="6">
        <v>4</v>
      </c>
      <c r="C17" s="6" t="s">
        <v>15</v>
      </c>
      <c r="D17" t="s">
        <v>34</v>
      </c>
      <c r="E17" s="6">
        <v>1964</v>
      </c>
      <c r="F17" s="1">
        <v>23726</v>
      </c>
      <c r="G17" t="s">
        <v>23</v>
      </c>
      <c r="H17" t="s">
        <v>13</v>
      </c>
      <c r="I17" s="6" t="s">
        <v>77</v>
      </c>
      <c r="J17" s="9" t="str">
        <f t="shared" si="0"/>
        <v>Beatles for Sale</v>
      </c>
      <c r="K17" t="s">
        <v>515</v>
      </c>
    </row>
    <row r="18" spans="1:11" x14ac:dyDescent="0.25">
      <c r="A18" t="s">
        <v>36</v>
      </c>
      <c r="B18" s="6">
        <v>5</v>
      </c>
      <c r="C18" s="6" t="s">
        <v>8</v>
      </c>
      <c r="D18" t="s">
        <v>37</v>
      </c>
      <c r="E18" s="6">
        <v>1965</v>
      </c>
      <c r="F18" s="1">
        <v>23960</v>
      </c>
      <c r="G18" t="s">
        <v>10</v>
      </c>
      <c r="H18" t="s">
        <v>11</v>
      </c>
      <c r="I18" s="6" t="s">
        <v>78</v>
      </c>
      <c r="J18" s="9" t="str">
        <f t="shared" si="0"/>
        <v>Help!</v>
      </c>
      <c r="K18" t="s">
        <v>516</v>
      </c>
    </row>
    <row r="19" spans="1:11" x14ac:dyDescent="0.25">
      <c r="A19" t="s">
        <v>38</v>
      </c>
      <c r="B19" s="6">
        <v>5</v>
      </c>
      <c r="C19" s="6" t="s">
        <v>8</v>
      </c>
      <c r="D19" t="s">
        <v>37</v>
      </c>
      <c r="E19" s="6">
        <v>1965</v>
      </c>
      <c r="F19" s="1">
        <v>23960</v>
      </c>
      <c r="G19" t="s">
        <v>10</v>
      </c>
      <c r="H19" t="s">
        <v>13</v>
      </c>
      <c r="I19" s="6" t="s">
        <v>78</v>
      </c>
      <c r="J19" s="9" t="str">
        <f t="shared" si="0"/>
        <v>Help!</v>
      </c>
      <c r="K19" t="s">
        <v>517</v>
      </c>
    </row>
    <row r="20" spans="1:11" x14ac:dyDescent="0.25">
      <c r="A20" t="s">
        <v>39</v>
      </c>
      <c r="B20" s="6">
        <v>5</v>
      </c>
      <c r="C20" s="6" t="s">
        <v>15</v>
      </c>
      <c r="D20" t="s">
        <v>40</v>
      </c>
      <c r="E20" s="6">
        <v>1965</v>
      </c>
      <c r="F20" s="1">
        <v>23967</v>
      </c>
      <c r="G20" t="s">
        <v>23</v>
      </c>
      <c r="H20" t="s">
        <v>11</v>
      </c>
      <c r="I20" s="6" t="s">
        <v>78</v>
      </c>
      <c r="J20" s="9" t="str">
        <f t="shared" si="0"/>
        <v>Help!</v>
      </c>
      <c r="K20" t="s">
        <v>518</v>
      </c>
    </row>
    <row r="21" spans="1:11" x14ac:dyDescent="0.25">
      <c r="A21" t="s">
        <v>41</v>
      </c>
      <c r="B21" s="6">
        <v>5</v>
      </c>
      <c r="C21" s="6" t="s">
        <v>15</v>
      </c>
      <c r="D21" t="s">
        <v>40</v>
      </c>
      <c r="E21" s="6">
        <v>1965</v>
      </c>
      <c r="F21" s="1">
        <v>23967</v>
      </c>
      <c r="G21" t="s">
        <v>23</v>
      </c>
      <c r="H21" t="s">
        <v>13</v>
      </c>
      <c r="I21" s="6" t="s">
        <v>78</v>
      </c>
      <c r="J21" s="9" t="str">
        <f t="shared" si="0"/>
        <v>Help!</v>
      </c>
      <c r="K21" t="s">
        <v>519</v>
      </c>
    </row>
    <row r="22" spans="1:11" x14ac:dyDescent="0.25">
      <c r="A22" t="s">
        <v>42</v>
      </c>
      <c r="B22" s="6">
        <v>6</v>
      </c>
      <c r="C22" s="6" t="s">
        <v>8</v>
      </c>
      <c r="D22" t="s">
        <v>43</v>
      </c>
      <c r="E22" s="6">
        <v>1965</v>
      </c>
      <c r="F22" s="1">
        <v>24079</v>
      </c>
      <c r="G22" t="s">
        <v>10</v>
      </c>
      <c r="H22" t="s">
        <v>11</v>
      </c>
      <c r="I22" s="6" t="s">
        <v>79</v>
      </c>
      <c r="J22" s="9" t="str">
        <f t="shared" si="0"/>
        <v>Rubber Soul</v>
      </c>
      <c r="K22" t="s">
        <v>520</v>
      </c>
    </row>
    <row r="23" spans="1:11" x14ac:dyDescent="0.25">
      <c r="A23" t="s">
        <v>44</v>
      </c>
      <c r="B23" s="6">
        <v>6</v>
      </c>
      <c r="C23" s="6" t="s">
        <v>8</v>
      </c>
      <c r="D23" t="s">
        <v>43</v>
      </c>
      <c r="E23" s="6">
        <v>1965</v>
      </c>
      <c r="F23" s="1">
        <v>24079</v>
      </c>
      <c r="G23" t="s">
        <v>10</v>
      </c>
      <c r="H23" t="s">
        <v>13</v>
      </c>
      <c r="I23" s="6" t="s">
        <v>79</v>
      </c>
      <c r="J23" s="9" t="str">
        <f t="shared" si="0"/>
        <v>Rubber Soul</v>
      </c>
      <c r="K23" t="s">
        <v>520</v>
      </c>
    </row>
    <row r="24" spans="1:11" x14ac:dyDescent="0.25">
      <c r="A24" t="s">
        <v>45</v>
      </c>
      <c r="B24" s="6">
        <v>6</v>
      </c>
      <c r="C24" s="6" t="s">
        <v>15</v>
      </c>
      <c r="D24" t="s">
        <v>43</v>
      </c>
      <c r="E24" s="6">
        <v>1965</v>
      </c>
      <c r="F24" s="1">
        <v>24082</v>
      </c>
      <c r="G24" t="s">
        <v>23</v>
      </c>
      <c r="H24" t="s">
        <v>11</v>
      </c>
      <c r="I24" s="6" t="s">
        <v>79</v>
      </c>
      <c r="J24" s="9" t="str">
        <f t="shared" si="0"/>
        <v>Rubber Soul</v>
      </c>
      <c r="K24" t="s">
        <v>520</v>
      </c>
    </row>
    <row r="25" spans="1:11" x14ac:dyDescent="0.25">
      <c r="A25" t="s">
        <v>46</v>
      </c>
      <c r="B25" s="6">
        <v>6</v>
      </c>
      <c r="C25" s="6" t="s">
        <v>15</v>
      </c>
      <c r="D25" t="s">
        <v>43</v>
      </c>
      <c r="E25" s="6">
        <v>1965</v>
      </c>
      <c r="F25" s="1">
        <v>24082</v>
      </c>
      <c r="G25" t="s">
        <v>23</v>
      </c>
      <c r="H25" t="s">
        <v>13</v>
      </c>
      <c r="I25" s="6" t="s">
        <v>79</v>
      </c>
      <c r="J25" s="9" t="str">
        <f t="shared" si="0"/>
        <v>Rubber Soul</v>
      </c>
      <c r="K25" t="s">
        <v>520</v>
      </c>
    </row>
    <row r="26" spans="1:11" x14ac:dyDescent="0.25">
      <c r="A26" t="s">
        <v>47</v>
      </c>
      <c r="B26" s="6">
        <v>7</v>
      </c>
      <c r="C26" s="6" t="s">
        <v>8</v>
      </c>
      <c r="D26" t="s">
        <v>48</v>
      </c>
      <c r="E26" s="6">
        <v>1966</v>
      </c>
      <c r="F26" s="1">
        <v>24324</v>
      </c>
      <c r="G26" t="s">
        <v>10</v>
      </c>
      <c r="H26" t="s">
        <v>11</v>
      </c>
      <c r="I26" s="6" t="s">
        <v>80</v>
      </c>
      <c r="J26" s="9" t="str">
        <f t="shared" si="0"/>
        <v>Revolver</v>
      </c>
      <c r="K26" t="s">
        <v>521</v>
      </c>
    </row>
    <row r="27" spans="1:11" x14ac:dyDescent="0.25">
      <c r="A27" t="s">
        <v>49</v>
      </c>
      <c r="B27" s="6">
        <v>7</v>
      </c>
      <c r="C27" s="6" t="s">
        <v>8</v>
      </c>
      <c r="D27" t="s">
        <v>48</v>
      </c>
      <c r="E27" s="6">
        <v>1966</v>
      </c>
      <c r="F27" s="1">
        <v>24324</v>
      </c>
      <c r="G27" t="s">
        <v>10</v>
      </c>
      <c r="H27" t="s">
        <v>13</v>
      </c>
      <c r="I27" s="6" t="s">
        <v>80</v>
      </c>
      <c r="J27" s="9" t="str">
        <f t="shared" si="0"/>
        <v>Revolver</v>
      </c>
      <c r="K27" t="s">
        <v>521</v>
      </c>
    </row>
    <row r="28" spans="1:11" x14ac:dyDescent="0.25">
      <c r="A28" t="s">
        <v>50</v>
      </c>
      <c r="B28" s="6">
        <v>7</v>
      </c>
      <c r="C28" s="6" t="s">
        <v>15</v>
      </c>
      <c r="D28" t="s">
        <v>48</v>
      </c>
      <c r="E28" s="6">
        <v>1966</v>
      </c>
      <c r="F28" s="1">
        <v>24327</v>
      </c>
      <c r="G28" t="s">
        <v>23</v>
      </c>
      <c r="H28" t="s">
        <v>11</v>
      </c>
      <c r="I28" s="6" t="s">
        <v>80</v>
      </c>
      <c r="J28" s="9" t="str">
        <f t="shared" si="0"/>
        <v>Revolver</v>
      </c>
      <c r="K28" t="s">
        <v>522</v>
      </c>
    </row>
    <row r="29" spans="1:11" x14ac:dyDescent="0.25">
      <c r="A29" t="s">
        <v>51</v>
      </c>
      <c r="B29" s="6">
        <v>7</v>
      </c>
      <c r="C29" s="6" t="s">
        <v>15</v>
      </c>
      <c r="D29" t="s">
        <v>48</v>
      </c>
      <c r="E29" s="6">
        <v>1966</v>
      </c>
      <c r="F29" s="1">
        <v>24327</v>
      </c>
      <c r="G29" t="s">
        <v>23</v>
      </c>
      <c r="H29" t="s">
        <v>13</v>
      </c>
      <c r="I29" s="6" t="s">
        <v>80</v>
      </c>
      <c r="J29" s="9" t="str">
        <f t="shared" si="0"/>
        <v>Revolver</v>
      </c>
      <c r="K29" t="s">
        <v>522</v>
      </c>
    </row>
    <row r="30" spans="1:11" x14ac:dyDescent="0.25">
      <c r="A30" t="s">
        <v>52</v>
      </c>
      <c r="B30" s="6">
        <v>8</v>
      </c>
      <c r="C30" s="6" t="s">
        <v>8</v>
      </c>
      <c r="D30" t="s">
        <v>53</v>
      </c>
      <c r="E30" s="6">
        <v>1967</v>
      </c>
      <c r="F30" s="1">
        <v>24618</v>
      </c>
      <c r="G30" t="s">
        <v>10</v>
      </c>
      <c r="H30" t="s">
        <v>11</v>
      </c>
      <c r="I30" s="6" t="s">
        <v>81</v>
      </c>
      <c r="J30" s="9" t="str">
        <f t="shared" si="0"/>
        <v>Sgt. Pepper's Lonely Hearts Club Band</v>
      </c>
      <c r="K30" t="s">
        <v>523</v>
      </c>
    </row>
    <row r="31" spans="1:11" x14ac:dyDescent="0.25">
      <c r="A31" t="s">
        <v>54</v>
      </c>
      <c r="B31" s="6">
        <v>8</v>
      </c>
      <c r="C31" s="6" t="s">
        <v>8</v>
      </c>
      <c r="D31" t="s">
        <v>53</v>
      </c>
      <c r="E31" s="6">
        <v>1967</v>
      </c>
      <c r="F31" s="1">
        <v>24618</v>
      </c>
      <c r="G31" t="s">
        <v>10</v>
      </c>
      <c r="H31" t="s">
        <v>13</v>
      </c>
      <c r="I31" s="6" t="s">
        <v>81</v>
      </c>
      <c r="J31" s="9" t="str">
        <f t="shared" si="0"/>
        <v>Sgt. Pepper's Lonely Hearts Club Band</v>
      </c>
      <c r="K31" t="s">
        <v>523</v>
      </c>
    </row>
    <row r="32" spans="1:11" x14ac:dyDescent="0.25">
      <c r="A32" t="s">
        <v>55</v>
      </c>
      <c r="B32" s="6">
        <v>8</v>
      </c>
      <c r="C32" s="6" t="s">
        <v>15</v>
      </c>
      <c r="D32" t="s">
        <v>53</v>
      </c>
      <c r="E32" s="6">
        <v>1967</v>
      </c>
      <c r="F32" s="1">
        <v>24625</v>
      </c>
      <c r="G32" t="s">
        <v>23</v>
      </c>
      <c r="H32" t="s">
        <v>11</v>
      </c>
      <c r="I32" s="6" t="s">
        <v>81</v>
      </c>
      <c r="J32" s="9" t="str">
        <f t="shared" si="0"/>
        <v>Sgt. Pepper's Lonely Hearts Club Band</v>
      </c>
      <c r="K32" t="s">
        <v>523</v>
      </c>
    </row>
    <row r="33" spans="1:11" x14ac:dyDescent="0.25">
      <c r="A33" t="s">
        <v>56</v>
      </c>
      <c r="B33" s="6">
        <v>8</v>
      </c>
      <c r="C33" s="6" t="s">
        <v>15</v>
      </c>
      <c r="D33" t="s">
        <v>53</v>
      </c>
      <c r="E33" s="6">
        <v>1967</v>
      </c>
      <c r="F33" s="1">
        <v>24625</v>
      </c>
      <c r="G33" t="s">
        <v>23</v>
      </c>
      <c r="H33" t="s">
        <v>13</v>
      </c>
      <c r="I33" s="6" t="s">
        <v>81</v>
      </c>
      <c r="J33" s="9" t="str">
        <f t="shared" si="0"/>
        <v>Sgt. Pepper's Lonely Hearts Club Band</v>
      </c>
      <c r="K33" t="s">
        <v>523</v>
      </c>
    </row>
    <row r="34" spans="1:11" x14ac:dyDescent="0.25">
      <c r="A34" t="s">
        <v>57</v>
      </c>
      <c r="B34" s="6">
        <v>9</v>
      </c>
      <c r="C34" s="6" t="s">
        <v>8</v>
      </c>
      <c r="D34" t="s">
        <v>58</v>
      </c>
      <c r="E34" s="6">
        <v>1968</v>
      </c>
      <c r="F34" s="1">
        <v>25164</v>
      </c>
      <c r="G34" t="s">
        <v>59</v>
      </c>
      <c r="H34" t="s">
        <v>11</v>
      </c>
      <c r="I34" s="6" t="s">
        <v>82</v>
      </c>
      <c r="J34" s="9" t="str">
        <f t="shared" si="0"/>
        <v>The Beatles (White Album)</v>
      </c>
      <c r="K34" t="s">
        <v>524</v>
      </c>
    </row>
    <row r="35" spans="1:11" x14ac:dyDescent="0.25">
      <c r="A35" t="s">
        <v>60</v>
      </c>
      <c r="B35" s="6">
        <v>9</v>
      </c>
      <c r="C35" s="6" t="s">
        <v>8</v>
      </c>
      <c r="D35" t="s">
        <v>58</v>
      </c>
      <c r="E35" s="6">
        <v>1968</v>
      </c>
      <c r="F35" s="1">
        <v>25164</v>
      </c>
      <c r="G35" t="s">
        <v>59</v>
      </c>
      <c r="H35" t="s">
        <v>13</v>
      </c>
      <c r="I35" s="6" t="s">
        <v>82</v>
      </c>
      <c r="J35" s="9" t="str">
        <f t="shared" si="0"/>
        <v>The Beatles (White Album)</v>
      </c>
      <c r="K35" t="s">
        <v>524</v>
      </c>
    </row>
    <row r="36" spans="1:11" x14ac:dyDescent="0.25">
      <c r="A36" t="s">
        <v>61</v>
      </c>
      <c r="B36" s="6">
        <v>9</v>
      </c>
      <c r="C36" s="6" t="s">
        <v>15</v>
      </c>
      <c r="D36" t="s">
        <v>58</v>
      </c>
      <c r="E36" s="6">
        <v>1968</v>
      </c>
      <c r="F36" s="1">
        <v>25167</v>
      </c>
      <c r="G36" t="s">
        <v>59</v>
      </c>
      <c r="H36" t="s">
        <v>13</v>
      </c>
      <c r="I36" s="6" t="s">
        <v>82</v>
      </c>
      <c r="J36" s="9" t="str">
        <f t="shared" si="0"/>
        <v>The Beatles (White Album)</v>
      </c>
      <c r="K36" t="s">
        <v>524</v>
      </c>
    </row>
    <row r="37" spans="1:11" x14ac:dyDescent="0.25">
      <c r="A37" t="s">
        <v>62</v>
      </c>
      <c r="B37" s="6">
        <v>10</v>
      </c>
      <c r="C37" s="6" t="s">
        <v>8</v>
      </c>
      <c r="D37" t="s">
        <v>63</v>
      </c>
      <c r="E37" s="6">
        <v>1969</v>
      </c>
      <c r="F37" s="1">
        <v>25216</v>
      </c>
      <c r="G37" t="s">
        <v>59</v>
      </c>
      <c r="H37" t="s">
        <v>13</v>
      </c>
      <c r="I37" s="6" t="s">
        <v>83</v>
      </c>
      <c r="J37" s="9" t="str">
        <f t="shared" si="0"/>
        <v>Yellow Submarine</v>
      </c>
      <c r="K37" t="s">
        <v>525</v>
      </c>
    </row>
    <row r="38" spans="1:11" x14ac:dyDescent="0.25">
      <c r="A38" t="s">
        <v>64</v>
      </c>
      <c r="B38" s="6">
        <v>10</v>
      </c>
      <c r="C38" s="6" t="s">
        <v>15</v>
      </c>
      <c r="D38" t="s">
        <v>63</v>
      </c>
      <c r="E38" s="6">
        <v>1969</v>
      </c>
      <c r="F38" s="1">
        <v>25216</v>
      </c>
      <c r="G38" t="s">
        <v>59</v>
      </c>
      <c r="H38" t="s">
        <v>13</v>
      </c>
      <c r="I38" s="6" t="s">
        <v>83</v>
      </c>
      <c r="J38" s="9" t="str">
        <f t="shared" si="0"/>
        <v>Yellow Submarine</v>
      </c>
      <c r="K38" t="s">
        <v>525</v>
      </c>
    </row>
    <row r="39" spans="1:11" x14ac:dyDescent="0.25">
      <c r="A39" t="s">
        <v>65</v>
      </c>
      <c r="B39" s="6">
        <v>11</v>
      </c>
      <c r="C39" s="6" t="s">
        <v>8</v>
      </c>
      <c r="D39" t="s">
        <v>66</v>
      </c>
      <c r="E39" s="6">
        <v>1969</v>
      </c>
      <c r="F39" s="1">
        <v>25472</v>
      </c>
      <c r="G39" t="s">
        <v>59</v>
      </c>
      <c r="H39" t="s">
        <v>13</v>
      </c>
      <c r="I39" s="6" t="s">
        <v>85</v>
      </c>
      <c r="J39" s="9" t="str">
        <f t="shared" si="0"/>
        <v>Abbey Road</v>
      </c>
      <c r="K39" t="s">
        <v>526</v>
      </c>
    </row>
    <row r="40" spans="1:11" x14ac:dyDescent="0.25">
      <c r="A40" t="s">
        <v>67</v>
      </c>
      <c r="B40" s="6">
        <v>11</v>
      </c>
      <c r="C40" s="6" t="s">
        <v>15</v>
      </c>
      <c r="D40" t="s">
        <v>66</v>
      </c>
      <c r="E40" s="6">
        <v>1969</v>
      </c>
      <c r="F40" s="1">
        <v>25477</v>
      </c>
      <c r="G40" t="s">
        <v>59</v>
      </c>
      <c r="H40" t="s">
        <v>13</v>
      </c>
      <c r="I40" s="6" t="s">
        <v>85</v>
      </c>
      <c r="J40" s="9" t="str">
        <f t="shared" si="0"/>
        <v>Abbey Road</v>
      </c>
      <c r="K40" t="s">
        <v>526</v>
      </c>
    </row>
    <row r="41" spans="1:11" x14ac:dyDescent="0.25">
      <c r="A41" t="s">
        <v>68</v>
      </c>
      <c r="B41" s="6">
        <v>12</v>
      </c>
      <c r="C41" s="6" t="s">
        <v>8</v>
      </c>
      <c r="D41" t="s">
        <v>69</v>
      </c>
      <c r="E41" s="6">
        <v>1970</v>
      </c>
      <c r="F41" s="1">
        <v>25696</v>
      </c>
      <c r="G41" t="s">
        <v>59</v>
      </c>
      <c r="H41" t="s">
        <v>13</v>
      </c>
      <c r="I41" s="6" t="s">
        <v>87</v>
      </c>
      <c r="J41" s="9" t="str">
        <f t="shared" si="0"/>
        <v>Let It Be</v>
      </c>
      <c r="K41" t="s">
        <v>527</v>
      </c>
    </row>
    <row r="42" spans="1:11" x14ac:dyDescent="0.25">
      <c r="A42" t="s">
        <v>70</v>
      </c>
      <c r="B42" s="6">
        <v>12</v>
      </c>
      <c r="C42" s="6" t="s">
        <v>15</v>
      </c>
      <c r="D42" t="s">
        <v>69</v>
      </c>
      <c r="E42" s="6">
        <v>1970</v>
      </c>
      <c r="F42" s="1">
        <v>25706</v>
      </c>
      <c r="G42" t="s">
        <v>28</v>
      </c>
      <c r="H42" t="s">
        <v>13</v>
      </c>
      <c r="I42" s="6" t="s">
        <v>87</v>
      </c>
      <c r="J42" s="9" t="str">
        <f t="shared" si="0"/>
        <v>Let It Be</v>
      </c>
      <c r="K42" t="s">
        <v>527</v>
      </c>
    </row>
  </sheetData>
  <sortState xmlns:xlrd2="http://schemas.microsoft.com/office/spreadsheetml/2017/richdata2" ref="A2:H43">
    <sortCondition ref="B2:B43"/>
    <sortCondition ref="C2:C43"/>
    <sortCondition ref="H2:H43"/>
  </sortState>
  <conditionalFormatting sqref="A1:A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4B57-AD65-4097-A01D-3CE97461CF02}">
  <dimension ref="A1:H581"/>
  <sheetViews>
    <sheetView tabSelected="1" workbookViewId="0">
      <pane ySplit="1" topLeftCell="A554" activePane="bottomLeft" state="frozen"/>
      <selection pane="bottomLeft" activeCell="C585" sqref="C585"/>
    </sheetView>
  </sheetViews>
  <sheetFormatPr defaultColWidth="9.28515625" defaultRowHeight="15" x14ac:dyDescent="0.25"/>
  <cols>
    <col min="1" max="1" width="20.28515625" bestFit="1" customWidth="1"/>
    <col min="2" max="2" width="13.28515625" bestFit="1" customWidth="1"/>
    <col min="3" max="3" width="55.28515625" bestFit="1" customWidth="1"/>
    <col min="4" max="4" width="40.85546875" bestFit="1" customWidth="1"/>
    <col min="5" max="5" width="9.7109375" style="4" bestFit="1" customWidth="1"/>
    <col min="6" max="6" width="7.85546875" style="4" bestFit="1" customWidth="1"/>
    <col min="7" max="7" width="7.85546875" style="4" customWidth="1"/>
    <col min="8" max="8" width="39.28515625" style="4" bestFit="1" customWidth="1"/>
  </cols>
  <sheetData>
    <row r="1" spans="1:8" s="2" customFormat="1" x14ac:dyDescent="0.25">
      <c r="A1" s="2" t="s">
        <v>100</v>
      </c>
      <c r="B1" s="2" t="s">
        <v>101</v>
      </c>
      <c r="C1" s="2" t="s">
        <v>102</v>
      </c>
      <c r="D1" s="2" t="s">
        <v>103</v>
      </c>
      <c r="E1" s="3" t="s">
        <v>501</v>
      </c>
      <c r="F1" s="3" t="s">
        <v>502</v>
      </c>
      <c r="G1" s="3" t="s">
        <v>6</v>
      </c>
      <c r="H1" s="3" t="s">
        <v>2</v>
      </c>
    </row>
    <row r="2" spans="1:8" x14ac:dyDescent="0.25">
      <c r="A2" t="s">
        <v>12</v>
      </c>
      <c r="B2">
        <v>1</v>
      </c>
      <c r="C2" t="s">
        <v>123</v>
      </c>
      <c r="D2" t="s">
        <v>105</v>
      </c>
      <c r="E2" s="4">
        <f>VLOOKUP($A2,releases,2,FALSE)</f>
        <v>1</v>
      </c>
      <c r="F2" s="4" t="str">
        <f>VLOOKUP($A2,releases,3,FALSE)</f>
        <v>UK</v>
      </c>
      <c r="G2" s="4" t="str">
        <f>VLOOKUP($A2,releases,8,FALSE)</f>
        <v>Stereo</v>
      </c>
      <c r="H2" s="4" t="str">
        <f>VLOOKUP($A2,releases,4,FALSE)</f>
        <v>Please Please Me</v>
      </c>
    </row>
    <row r="3" spans="1:8" x14ac:dyDescent="0.25">
      <c r="A3" t="s">
        <v>12</v>
      </c>
      <c r="B3">
        <v>2</v>
      </c>
      <c r="C3" t="s">
        <v>124</v>
      </c>
      <c r="D3" t="s">
        <v>105</v>
      </c>
      <c r="E3" s="4">
        <f>VLOOKUP($A3,releases,2,FALSE)</f>
        <v>1</v>
      </c>
      <c r="F3" s="4" t="str">
        <f>VLOOKUP($A3,releases,3,FALSE)</f>
        <v>UK</v>
      </c>
      <c r="G3" s="4" t="str">
        <f>VLOOKUP($A3,releases,8,FALSE)</f>
        <v>Stereo</v>
      </c>
      <c r="H3" s="4" t="str">
        <f>VLOOKUP($A3,releases,4,FALSE)</f>
        <v>Please Please Me</v>
      </c>
    </row>
    <row r="4" spans="1:8" x14ac:dyDescent="0.25">
      <c r="A4" t="s">
        <v>12</v>
      </c>
      <c r="B4">
        <v>3</v>
      </c>
      <c r="C4" t="s">
        <v>125</v>
      </c>
      <c r="D4" t="s">
        <v>126</v>
      </c>
      <c r="E4" s="4">
        <f>VLOOKUP($A4,releases,2,FALSE)</f>
        <v>1</v>
      </c>
      <c r="F4" s="4" t="str">
        <f>VLOOKUP($A4,releases,3,FALSE)</f>
        <v>UK</v>
      </c>
      <c r="G4" s="4" t="str">
        <f>VLOOKUP($A4,releases,8,FALSE)</f>
        <v>Stereo</v>
      </c>
      <c r="H4" s="4" t="str">
        <f>VLOOKUP($A4,releases,4,FALSE)</f>
        <v>Please Please Me</v>
      </c>
    </row>
    <row r="5" spans="1:8" x14ac:dyDescent="0.25">
      <c r="A5" t="s">
        <v>12</v>
      </c>
      <c r="B5">
        <v>4</v>
      </c>
      <c r="C5" t="s">
        <v>127</v>
      </c>
      <c r="D5" t="s">
        <v>128</v>
      </c>
      <c r="E5" s="4">
        <f>VLOOKUP($A5,releases,2,FALSE)</f>
        <v>1</v>
      </c>
      <c r="F5" s="4" t="str">
        <f>VLOOKUP($A5,releases,3,FALSE)</f>
        <v>UK</v>
      </c>
      <c r="G5" s="4" t="str">
        <f>VLOOKUP($A5,releases,8,FALSE)</f>
        <v>Stereo</v>
      </c>
      <c r="H5" s="4" t="str">
        <f>VLOOKUP($A5,releases,4,FALSE)</f>
        <v>Please Please Me</v>
      </c>
    </row>
    <row r="6" spans="1:8" x14ac:dyDescent="0.25">
      <c r="A6" t="s">
        <v>12</v>
      </c>
      <c r="B6">
        <v>5</v>
      </c>
      <c r="C6" t="s">
        <v>129</v>
      </c>
      <c r="D6" t="s">
        <v>130</v>
      </c>
      <c r="E6" s="4">
        <f>VLOOKUP($A6,releases,2,FALSE)</f>
        <v>1</v>
      </c>
      <c r="F6" s="4" t="str">
        <f>VLOOKUP($A6,releases,3,FALSE)</f>
        <v>UK</v>
      </c>
      <c r="G6" s="4" t="str">
        <f>VLOOKUP($A6,releases,8,FALSE)</f>
        <v>Stereo</v>
      </c>
      <c r="H6" s="4" t="str">
        <f>VLOOKUP($A6,releases,4,FALSE)</f>
        <v>Please Please Me</v>
      </c>
    </row>
    <row r="7" spans="1:8" x14ac:dyDescent="0.25">
      <c r="A7" t="s">
        <v>12</v>
      </c>
      <c r="B7">
        <v>6</v>
      </c>
      <c r="C7" t="s">
        <v>131</v>
      </c>
      <c r="D7" t="s">
        <v>105</v>
      </c>
      <c r="E7" s="4">
        <f>VLOOKUP($A7,releases,2,FALSE)</f>
        <v>1</v>
      </c>
      <c r="F7" s="4" t="str">
        <f>VLOOKUP($A7,releases,3,FALSE)</f>
        <v>UK</v>
      </c>
      <c r="G7" s="4" t="str">
        <f>VLOOKUP($A7,releases,8,FALSE)</f>
        <v>Stereo</v>
      </c>
      <c r="H7" s="4" t="str">
        <f>VLOOKUP($A7,releases,4,FALSE)</f>
        <v>Please Please Me</v>
      </c>
    </row>
    <row r="8" spans="1:8" x14ac:dyDescent="0.25">
      <c r="A8" t="s">
        <v>12</v>
      </c>
      <c r="B8">
        <v>7</v>
      </c>
      <c r="C8" t="s">
        <v>9</v>
      </c>
      <c r="D8" t="s">
        <v>105</v>
      </c>
      <c r="E8" s="4">
        <f>VLOOKUP($A8,releases,2,FALSE)</f>
        <v>1</v>
      </c>
      <c r="F8" s="4" t="str">
        <f>VLOOKUP($A8,releases,3,FALSE)</f>
        <v>UK</v>
      </c>
      <c r="G8" s="4" t="str">
        <f>VLOOKUP($A8,releases,8,FALSE)</f>
        <v>Stereo</v>
      </c>
      <c r="H8" s="4" t="str">
        <f>VLOOKUP($A8,releases,4,FALSE)</f>
        <v>Please Please Me</v>
      </c>
    </row>
    <row r="9" spans="1:8" x14ac:dyDescent="0.25">
      <c r="A9" t="s">
        <v>12</v>
      </c>
      <c r="B9">
        <v>8</v>
      </c>
      <c r="C9" t="s">
        <v>132</v>
      </c>
      <c r="D9" t="s">
        <v>105</v>
      </c>
      <c r="E9" s="4">
        <f>VLOOKUP($A9,releases,2,FALSE)</f>
        <v>1</v>
      </c>
      <c r="F9" s="4" t="str">
        <f>VLOOKUP($A9,releases,3,FALSE)</f>
        <v>UK</v>
      </c>
      <c r="G9" s="4" t="str">
        <f>VLOOKUP($A9,releases,8,FALSE)</f>
        <v>Stereo</v>
      </c>
      <c r="H9" s="4" t="str">
        <f>VLOOKUP($A9,releases,4,FALSE)</f>
        <v>Please Please Me</v>
      </c>
    </row>
    <row r="10" spans="1:8" x14ac:dyDescent="0.25">
      <c r="A10" t="s">
        <v>12</v>
      </c>
      <c r="B10">
        <v>9</v>
      </c>
      <c r="C10" t="s">
        <v>133</v>
      </c>
      <c r="D10" t="s">
        <v>105</v>
      </c>
      <c r="E10" s="4">
        <f>VLOOKUP($A10,releases,2,FALSE)</f>
        <v>1</v>
      </c>
      <c r="F10" s="4" t="str">
        <f>VLOOKUP($A10,releases,3,FALSE)</f>
        <v>UK</v>
      </c>
      <c r="G10" s="4" t="str">
        <f>VLOOKUP($A10,releases,8,FALSE)</f>
        <v>Stereo</v>
      </c>
      <c r="H10" s="4" t="str">
        <f>VLOOKUP($A10,releases,4,FALSE)</f>
        <v>Please Please Me</v>
      </c>
    </row>
    <row r="11" spans="1:8" x14ac:dyDescent="0.25">
      <c r="A11" t="s">
        <v>12</v>
      </c>
      <c r="B11">
        <v>10</v>
      </c>
      <c r="C11" t="s">
        <v>134</v>
      </c>
      <c r="D11" t="s">
        <v>135</v>
      </c>
      <c r="E11" s="4">
        <f>VLOOKUP($A11,releases,2,FALSE)</f>
        <v>1</v>
      </c>
      <c r="F11" s="4" t="str">
        <f>VLOOKUP($A11,releases,3,FALSE)</f>
        <v>UK</v>
      </c>
      <c r="G11" s="4" t="str">
        <f>VLOOKUP($A11,releases,8,FALSE)</f>
        <v>Stereo</v>
      </c>
      <c r="H11" s="4" t="str">
        <f>VLOOKUP($A11,releases,4,FALSE)</f>
        <v>Please Please Me</v>
      </c>
    </row>
    <row r="12" spans="1:8" x14ac:dyDescent="0.25">
      <c r="A12" t="s">
        <v>12</v>
      </c>
      <c r="B12">
        <v>11</v>
      </c>
      <c r="C12" t="s">
        <v>136</v>
      </c>
      <c r="D12" t="s">
        <v>105</v>
      </c>
      <c r="E12" s="4">
        <f>VLOOKUP($A12,releases,2,FALSE)</f>
        <v>1</v>
      </c>
      <c r="F12" s="4" t="str">
        <f>VLOOKUP($A12,releases,3,FALSE)</f>
        <v>UK</v>
      </c>
      <c r="G12" s="4" t="str">
        <f>VLOOKUP($A12,releases,8,FALSE)</f>
        <v>Stereo</v>
      </c>
      <c r="H12" s="4" t="str">
        <f>VLOOKUP($A12,releases,4,FALSE)</f>
        <v>Please Please Me</v>
      </c>
    </row>
    <row r="13" spans="1:8" x14ac:dyDescent="0.25">
      <c r="A13" t="s">
        <v>12</v>
      </c>
      <c r="B13">
        <v>12</v>
      </c>
      <c r="C13" t="s">
        <v>137</v>
      </c>
      <c r="D13" t="s">
        <v>138</v>
      </c>
      <c r="E13" s="4">
        <f>VLOOKUP($A13,releases,2,FALSE)</f>
        <v>1</v>
      </c>
      <c r="F13" s="4" t="str">
        <f>VLOOKUP($A13,releases,3,FALSE)</f>
        <v>UK</v>
      </c>
      <c r="G13" s="4" t="str">
        <f>VLOOKUP($A13,releases,8,FALSE)</f>
        <v>Stereo</v>
      </c>
      <c r="H13" s="4" t="str">
        <f>VLOOKUP($A13,releases,4,FALSE)</f>
        <v>Please Please Me</v>
      </c>
    </row>
    <row r="14" spans="1:8" x14ac:dyDescent="0.25">
      <c r="A14" t="s">
        <v>12</v>
      </c>
      <c r="B14">
        <v>13</v>
      </c>
      <c r="C14" t="s">
        <v>139</v>
      </c>
      <c r="D14" t="s">
        <v>105</v>
      </c>
      <c r="E14" s="4">
        <f>VLOOKUP($A14,releases,2,FALSE)</f>
        <v>1</v>
      </c>
      <c r="F14" s="4" t="str">
        <f>VLOOKUP($A14,releases,3,FALSE)</f>
        <v>UK</v>
      </c>
      <c r="G14" s="4" t="str">
        <f>VLOOKUP($A14,releases,8,FALSE)</f>
        <v>Stereo</v>
      </c>
      <c r="H14" s="4" t="str">
        <f>VLOOKUP($A14,releases,4,FALSE)</f>
        <v>Please Please Me</v>
      </c>
    </row>
    <row r="15" spans="1:8" x14ac:dyDescent="0.25">
      <c r="A15" t="s">
        <v>12</v>
      </c>
      <c r="B15">
        <v>14</v>
      </c>
      <c r="C15" t="s">
        <v>140</v>
      </c>
      <c r="D15" t="s">
        <v>141</v>
      </c>
      <c r="E15" s="4">
        <f>VLOOKUP($A15,releases,2,FALSE)</f>
        <v>1</v>
      </c>
      <c r="F15" s="4" t="str">
        <f>VLOOKUP($A15,releases,3,FALSE)</f>
        <v>UK</v>
      </c>
      <c r="G15" s="4" t="str">
        <f>VLOOKUP($A15,releases,8,FALSE)</f>
        <v>Stereo</v>
      </c>
      <c r="H15" s="4" t="str">
        <f>VLOOKUP($A15,releases,4,FALSE)</f>
        <v>Please Please Me</v>
      </c>
    </row>
    <row r="16" spans="1:8" x14ac:dyDescent="0.25">
      <c r="A16" t="s">
        <v>7</v>
      </c>
      <c r="B16">
        <v>1</v>
      </c>
      <c r="C16" t="s">
        <v>123</v>
      </c>
      <c r="D16" t="s">
        <v>105</v>
      </c>
      <c r="E16" s="4">
        <f>VLOOKUP($A16,releases,2,FALSE)</f>
        <v>1</v>
      </c>
      <c r="F16" s="4" t="str">
        <f>VLOOKUP($A16,releases,3,FALSE)</f>
        <v>UK</v>
      </c>
      <c r="G16" s="4" t="str">
        <f>VLOOKUP($A16,releases,8,FALSE)</f>
        <v>Mono</v>
      </c>
      <c r="H16" s="4" t="str">
        <f>VLOOKUP($A16,releases,4,FALSE)</f>
        <v>Please Please Me</v>
      </c>
    </row>
    <row r="17" spans="1:8" x14ac:dyDescent="0.25">
      <c r="A17" t="s">
        <v>7</v>
      </c>
      <c r="B17">
        <v>2</v>
      </c>
      <c r="C17" t="s">
        <v>124</v>
      </c>
      <c r="D17" t="s">
        <v>105</v>
      </c>
      <c r="E17" s="4">
        <f>VLOOKUP($A17,releases,2,FALSE)</f>
        <v>1</v>
      </c>
      <c r="F17" s="4" t="str">
        <f>VLOOKUP($A17,releases,3,FALSE)</f>
        <v>UK</v>
      </c>
      <c r="G17" s="4" t="str">
        <f>VLOOKUP($A17,releases,8,FALSE)</f>
        <v>Mono</v>
      </c>
      <c r="H17" s="4" t="str">
        <f>VLOOKUP($A17,releases,4,FALSE)</f>
        <v>Please Please Me</v>
      </c>
    </row>
    <row r="18" spans="1:8" x14ac:dyDescent="0.25">
      <c r="A18" t="s">
        <v>7</v>
      </c>
      <c r="B18">
        <v>3</v>
      </c>
      <c r="C18" t="s">
        <v>125</v>
      </c>
      <c r="D18" t="s">
        <v>126</v>
      </c>
      <c r="E18" s="4">
        <f>VLOOKUP($A18,releases,2,FALSE)</f>
        <v>1</v>
      </c>
      <c r="F18" s="4" t="str">
        <f>VLOOKUP($A18,releases,3,FALSE)</f>
        <v>UK</v>
      </c>
      <c r="G18" s="4" t="str">
        <f>VLOOKUP($A18,releases,8,FALSE)</f>
        <v>Mono</v>
      </c>
      <c r="H18" s="4" t="str">
        <f>VLOOKUP($A18,releases,4,FALSE)</f>
        <v>Please Please Me</v>
      </c>
    </row>
    <row r="19" spans="1:8" x14ac:dyDescent="0.25">
      <c r="A19" t="s">
        <v>7</v>
      </c>
      <c r="B19">
        <v>4</v>
      </c>
      <c r="C19" t="s">
        <v>127</v>
      </c>
      <c r="D19" t="s">
        <v>128</v>
      </c>
      <c r="E19" s="4">
        <f>VLOOKUP($A19,releases,2,FALSE)</f>
        <v>1</v>
      </c>
      <c r="F19" s="4" t="str">
        <f>VLOOKUP($A19,releases,3,FALSE)</f>
        <v>UK</v>
      </c>
      <c r="G19" s="4" t="str">
        <f>VLOOKUP($A19,releases,8,FALSE)</f>
        <v>Mono</v>
      </c>
      <c r="H19" s="4" t="str">
        <f>VLOOKUP($A19,releases,4,FALSE)</f>
        <v>Please Please Me</v>
      </c>
    </row>
    <row r="20" spans="1:8" x14ac:dyDescent="0.25">
      <c r="A20" t="s">
        <v>7</v>
      </c>
      <c r="B20">
        <v>5</v>
      </c>
      <c r="C20" t="s">
        <v>129</v>
      </c>
      <c r="D20" t="s">
        <v>130</v>
      </c>
      <c r="E20" s="4">
        <f>VLOOKUP($A20,releases,2,FALSE)</f>
        <v>1</v>
      </c>
      <c r="F20" s="4" t="str">
        <f>VLOOKUP($A20,releases,3,FALSE)</f>
        <v>UK</v>
      </c>
      <c r="G20" s="4" t="str">
        <f>VLOOKUP($A20,releases,8,FALSE)</f>
        <v>Mono</v>
      </c>
      <c r="H20" s="4" t="str">
        <f>VLOOKUP($A20,releases,4,FALSE)</f>
        <v>Please Please Me</v>
      </c>
    </row>
    <row r="21" spans="1:8" x14ac:dyDescent="0.25">
      <c r="A21" t="s">
        <v>7</v>
      </c>
      <c r="B21">
        <v>6</v>
      </c>
      <c r="C21" t="s">
        <v>131</v>
      </c>
      <c r="D21" t="s">
        <v>105</v>
      </c>
      <c r="E21" s="4">
        <f>VLOOKUP($A21,releases,2,FALSE)</f>
        <v>1</v>
      </c>
      <c r="F21" s="4" t="str">
        <f>VLOOKUP($A21,releases,3,FALSE)</f>
        <v>UK</v>
      </c>
      <c r="G21" s="4" t="str">
        <f>VLOOKUP($A21,releases,8,FALSE)</f>
        <v>Mono</v>
      </c>
      <c r="H21" s="4" t="str">
        <f>VLOOKUP($A21,releases,4,FALSE)</f>
        <v>Please Please Me</v>
      </c>
    </row>
    <row r="22" spans="1:8" x14ac:dyDescent="0.25">
      <c r="A22" t="s">
        <v>7</v>
      </c>
      <c r="B22">
        <v>7</v>
      </c>
      <c r="C22" t="s">
        <v>9</v>
      </c>
      <c r="D22" t="s">
        <v>105</v>
      </c>
      <c r="E22" s="4">
        <f>VLOOKUP($A22,releases,2,FALSE)</f>
        <v>1</v>
      </c>
      <c r="F22" s="4" t="str">
        <f>VLOOKUP($A22,releases,3,FALSE)</f>
        <v>UK</v>
      </c>
      <c r="G22" s="4" t="str">
        <f>VLOOKUP($A22,releases,8,FALSE)</f>
        <v>Mono</v>
      </c>
      <c r="H22" s="4" t="str">
        <f>VLOOKUP($A22,releases,4,FALSE)</f>
        <v>Please Please Me</v>
      </c>
    </row>
    <row r="23" spans="1:8" x14ac:dyDescent="0.25">
      <c r="A23" t="s">
        <v>7</v>
      </c>
      <c r="B23">
        <v>8</v>
      </c>
      <c r="C23" t="s">
        <v>132</v>
      </c>
      <c r="D23" t="s">
        <v>105</v>
      </c>
      <c r="E23" s="4">
        <f>VLOOKUP($A23,releases,2,FALSE)</f>
        <v>1</v>
      </c>
      <c r="F23" s="4" t="str">
        <f>VLOOKUP($A23,releases,3,FALSE)</f>
        <v>UK</v>
      </c>
      <c r="G23" s="4" t="str">
        <f>VLOOKUP($A23,releases,8,FALSE)</f>
        <v>Mono</v>
      </c>
      <c r="H23" s="4" t="str">
        <f>VLOOKUP($A23,releases,4,FALSE)</f>
        <v>Please Please Me</v>
      </c>
    </row>
    <row r="24" spans="1:8" x14ac:dyDescent="0.25">
      <c r="A24" t="s">
        <v>7</v>
      </c>
      <c r="B24">
        <v>9</v>
      </c>
      <c r="C24" t="s">
        <v>133</v>
      </c>
      <c r="D24" t="s">
        <v>105</v>
      </c>
      <c r="E24" s="4">
        <f>VLOOKUP($A24,releases,2,FALSE)</f>
        <v>1</v>
      </c>
      <c r="F24" s="4" t="str">
        <f>VLOOKUP($A24,releases,3,FALSE)</f>
        <v>UK</v>
      </c>
      <c r="G24" s="4" t="str">
        <f>VLOOKUP($A24,releases,8,FALSE)</f>
        <v>Mono</v>
      </c>
      <c r="H24" s="4" t="str">
        <f>VLOOKUP($A24,releases,4,FALSE)</f>
        <v>Please Please Me</v>
      </c>
    </row>
    <row r="25" spans="1:8" x14ac:dyDescent="0.25">
      <c r="A25" t="s">
        <v>7</v>
      </c>
      <c r="B25">
        <v>10</v>
      </c>
      <c r="C25" t="s">
        <v>134</v>
      </c>
      <c r="D25" t="s">
        <v>135</v>
      </c>
      <c r="E25" s="4">
        <f>VLOOKUP($A25,releases,2,FALSE)</f>
        <v>1</v>
      </c>
      <c r="F25" s="4" t="str">
        <f>VLOOKUP($A25,releases,3,FALSE)</f>
        <v>UK</v>
      </c>
      <c r="G25" s="4" t="str">
        <f>VLOOKUP($A25,releases,8,FALSE)</f>
        <v>Mono</v>
      </c>
      <c r="H25" s="4" t="str">
        <f>VLOOKUP($A25,releases,4,FALSE)</f>
        <v>Please Please Me</v>
      </c>
    </row>
    <row r="26" spans="1:8" x14ac:dyDescent="0.25">
      <c r="A26" t="s">
        <v>7</v>
      </c>
      <c r="B26">
        <v>11</v>
      </c>
      <c r="C26" t="s">
        <v>136</v>
      </c>
      <c r="D26" t="s">
        <v>105</v>
      </c>
      <c r="E26" s="4">
        <f>VLOOKUP($A26,releases,2,FALSE)</f>
        <v>1</v>
      </c>
      <c r="F26" s="4" t="str">
        <f>VLOOKUP($A26,releases,3,FALSE)</f>
        <v>UK</v>
      </c>
      <c r="G26" s="4" t="str">
        <f>VLOOKUP($A26,releases,8,FALSE)</f>
        <v>Mono</v>
      </c>
      <c r="H26" s="4" t="str">
        <f>VLOOKUP($A26,releases,4,FALSE)</f>
        <v>Please Please Me</v>
      </c>
    </row>
    <row r="27" spans="1:8" x14ac:dyDescent="0.25">
      <c r="A27" t="s">
        <v>7</v>
      </c>
      <c r="B27">
        <v>12</v>
      </c>
      <c r="C27" t="s">
        <v>137</v>
      </c>
      <c r="D27" t="s">
        <v>138</v>
      </c>
      <c r="E27" s="4">
        <f>VLOOKUP($A27,releases,2,FALSE)</f>
        <v>1</v>
      </c>
      <c r="F27" s="4" t="str">
        <f>VLOOKUP($A27,releases,3,FALSE)</f>
        <v>UK</v>
      </c>
      <c r="G27" s="4" t="str">
        <f>VLOOKUP($A27,releases,8,FALSE)</f>
        <v>Mono</v>
      </c>
      <c r="H27" s="4" t="str">
        <f>VLOOKUP($A27,releases,4,FALSE)</f>
        <v>Please Please Me</v>
      </c>
    </row>
    <row r="28" spans="1:8" x14ac:dyDescent="0.25">
      <c r="A28" t="s">
        <v>7</v>
      </c>
      <c r="B28">
        <v>13</v>
      </c>
      <c r="C28" t="s">
        <v>139</v>
      </c>
      <c r="D28" t="s">
        <v>105</v>
      </c>
      <c r="E28" s="4">
        <f>VLOOKUP($A28,releases,2,FALSE)</f>
        <v>1</v>
      </c>
      <c r="F28" s="4" t="str">
        <f>VLOOKUP($A28,releases,3,FALSE)</f>
        <v>UK</v>
      </c>
      <c r="G28" s="4" t="str">
        <f>VLOOKUP($A28,releases,8,FALSE)</f>
        <v>Mono</v>
      </c>
      <c r="H28" s="4" t="str">
        <f>VLOOKUP($A28,releases,4,FALSE)</f>
        <v>Please Please Me</v>
      </c>
    </row>
    <row r="29" spans="1:8" x14ac:dyDescent="0.25">
      <c r="A29" t="s">
        <v>7</v>
      </c>
      <c r="B29">
        <v>14</v>
      </c>
      <c r="C29" t="s">
        <v>140</v>
      </c>
      <c r="D29" t="s">
        <v>141</v>
      </c>
      <c r="E29" s="4">
        <f>VLOOKUP($A29,releases,2,FALSE)</f>
        <v>1</v>
      </c>
      <c r="F29" s="4" t="str">
        <f>VLOOKUP($A29,releases,3,FALSE)</f>
        <v>UK</v>
      </c>
      <c r="G29" s="4" t="str">
        <f>VLOOKUP($A29,releases,8,FALSE)</f>
        <v>Mono</v>
      </c>
      <c r="H29" s="4" t="str">
        <f>VLOOKUP($A29,releases,4,FALSE)</f>
        <v>Please Please Me</v>
      </c>
    </row>
    <row r="30" spans="1:8" x14ac:dyDescent="0.25">
      <c r="A30" t="s">
        <v>142</v>
      </c>
      <c r="B30">
        <v>1</v>
      </c>
      <c r="C30" t="s">
        <v>123</v>
      </c>
      <c r="D30" t="s">
        <v>105</v>
      </c>
      <c r="E30" s="4">
        <f>VLOOKUP($A30,releases,2,FALSE)</f>
        <v>1</v>
      </c>
      <c r="F30" s="4" t="str">
        <f>VLOOKUP($A30,releases,3,FALSE)</f>
        <v>US</v>
      </c>
      <c r="G30" s="4" t="str">
        <f>VLOOKUP($A30,releases,8,FALSE)</f>
        <v>Mono</v>
      </c>
      <c r="H30" s="4" t="str">
        <f>VLOOKUP($A30,releases,4,FALSE)</f>
        <v>Introducing... The Beatles</v>
      </c>
    </row>
    <row r="31" spans="1:8" x14ac:dyDescent="0.25">
      <c r="A31" t="s">
        <v>142</v>
      </c>
      <c r="B31">
        <v>2</v>
      </c>
      <c r="C31" t="s">
        <v>124</v>
      </c>
      <c r="D31" t="s">
        <v>105</v>
      </c>
      <c r="E31" s="4">
        <f>VLOOKUP($A31,releases,2,FALSE)</f>
        <v>1</v>
      </c>
      <c r="F31" s="4" t="str">
        <f>VLOOKUP($A31,releases,3,FALSE)</f>
        <v>US</v>
      </c>
      <c r="G31" s="4" t="str">
        <f>VLOOKUP($A31,releases,8,FALSE)</f>
        <v>Mono</v>
      </c>
      <c r="H31" s="4" t="str">
        <f>VLOOKUP($A31,releases,4,FALSE)</f>
        <v>Introducing... The Beatles</v>
      </c>
    </row>
    <row r="32" spans="1:8" x14ac:dyDescent="0.25">
      <c r="A32" t="s">
        <v>142</v>
      </c>
      <c r="B32">
        <v>3</v>
      </c>
      <c r="C32" t="s">
        <v>125</v>
      </c>
      <c r="D32" t="s">
        <v>126</v>
      </c>
      <c r="E32" s="4">
        <f>VLOOKUP($A32,releases,2,FALSE)</f>
        <v>1</v>
      </c>
      <c r="F32" s="4" t="str">
        <f>VLOOKUP($A32,releases,3,FALSE)</f>
        <v>US</v>
      </c>
      <c r="G32" s="4" t="str">
        <f>VLOOKUP($A32,releases,8,FALSE)</f>
        <v>Mono</v>
      </c>
      <c r="H32" s="4" t="str">
        <f>VLOOKUP($A32,releases,4,FALSE)</f>
        <v>Introducing... The Beatles</v>
      </c>
    </row>
    <row r="33" spans="1:8" x14ac:dyDescent="0.25">
      <c r="A33" t="s">
        <v>142</v>
      </c>
      <c r="B33">
        <v>4</v>
      </c>
      <c r="C33" t="s">
        <v>127</v>
      </c>
      <c r="D33" t="s">
        <v>128</v>
      </c>
      <c r="E33" s="4">
        <f>VLOOKUP($A33,releases,2,FALSE)</f>
        <v>1</v>
      </c>
      <c r="F33" s="4" t="str">
        <f>VLOOKUP($A33,releases,3,FALSE)</f>
        <v>US</v>
      </c>
      <c r="G33" s="4" t="str">
        <f>VLOOKUP($A33,releases,8,FALSE)</f>
        <v>Mono</v>
      </c>
      <c r="H33" s="4" t="str">
        <f>VLOOKUP($A33,releases,4,FALSE)</f>
        <v>Introducing... The Beatles</v>
      </c>
    </row>
    <row r="34" spans="1:8" x14ac:dyDescent="0.25">
      <c r="A34" t="s">
        <v>142</v>
      </c>
      <c r="B34">
        <v>5</v>
      </c>
      <c r="C34" t="s">
        <v>129</v>
      </c>
      <c r="D34" t="s">
        <v>130</v>
      </c>
      <c r="E34" s="4">
        <f>VLOOKUP($A34,releases,2,FALSE)</f>
        <v>1</v>
      </c>
      <c r="F34" s="4" t="str">
        <f>VLOOKUP($A34,releases,3,FALSE)</f>
        <v>US</v>
      </c>
      <c r="G34" s="4" t="str">
        <f>VLOOKUP($A34,releases,8,FALSE)</f>
        <v>Mono</v>
      </c>
      <c r="H34" s="4" t="str">
        <f>VLOOKUP($A34,releases,4,FALSE)</f>
        <v>Introducing... The Beatles</v>
      </c>
    </row>
    <row r="35" spans="1:8" x14ac:dyDescent="0.25">
      <c r="A35" t="s">
        <v>142</v>
      </c>
      <c r="B35">
        <v>6</v>
      </c>
      <c r="C35" t="s">
        <v>131</v>
      </c>
      <c r="D35" t="s">
        <v>105</v>
      </c>
      <c r="E35" s="4">
        <f>VLOOKUP($A35,releases,2,FALSE)</f>
        <v>1</v>
      </c>
      <c r="F35" s="4" t="str">
        <f>VLOOKUP($A35,releases,3,FALSE)</f>
        <v>US</v>
      </c>
      <c r="G35" s="4" t="str">
        <f>VLOOKUP($A35,releases,8,FALSE)</f>
        <v>Mono</v>
      </c>
      <c r="H35" s="4" t="str">
        <f>VLOOKUP($A35,releases,4,FALSE)</f>
        <v>Introducing... The Beatles</v>
      </c>
    </row>
    <row r="36" spans="1:8" x14ac:dyDescent="0.25">
      <c r="A36" t="s">
        <v>142</v>
      </c>
      <c r="B36">
        <v>7</v>
      </c>
      <c r="C36" t="s">
        <v>9</v>
      </c>
      <c r="D36" t="s">
        <v>105</v>
      </c>
      <c r="E36" s="4">
        <f>VLOOKUP($A36,releases,2,FALSE)</f>
        <v>1</v>
      </c>
      <c r="F36" s="4" t="str">
        <f>VLOOKUP($A36,releases,3,FALSE)</f>
        <v>US</v>
      </c>
      <c r="G36" s="4" t="str">
        <f>VLOOKUP($A36,releases,8,FALSE)</f>
        <v>Mono</v>
      </c>
      <c r="H36" s="4" t="str">
        <f>VLOOKUP($A36,releases,4,FALSE)</f>
        <v>Introducing... The Beatles</v>
      </c>
    </row>
    <row r="37" spans="1:8" x14ac:dyDescent="0.25">
      <c r="A37" t="s">
        <v>142</v>
      </c>
      <c r="B37">
        <v>8</v>
      </c>
      <c r="C37" t="s">
        <v>132</v>
      </c>
      <c r="D37" t="s">
        <v>105</v>
      </c>
      <c r="E37" s="4">
        <f>VLOOKUP($A37,releases,2,FALSE)</f>
        <v>1</v>
      </c>
      <c r="F37" s="4" t="str">
        <f>VLOOKUP($A37,releases,3,FALSE)</f>
        <v>US</v>
      </c>
      <c r="G37" s="4" t="str">
        <f>VLOOKUP($A37,releases,8,FALSE)</f>
        <v>Mono</v>
      </c>
      <c r="H37" s="4" t="str">
        <f>VLOOKUP($A37,releases,4,FALSE)</f>
        <v>Introducing... The Beatles</v>
      </c>
    </row>
    <row r="38" spans="1:8" x14ac:dyDescent="0.25">
      <c r="A38" t="s">
        <v>142</v>
      </c>
      <c r="B38">
        <v>9</v>
      </c>
      <c r="C38" t="s">
        <v>133</v>
      </c>
      <c r="D38" t="s">
        <v>105</v>
      </c>
      <c r="E38" s="4">
        <f>VLOOKUP($A38,releases,2,FALSE)</f>
        <v>1</v>
      </c>
      <c r="F38" s="4" t="str">
        <f>VLOOKUP($A38,releases,3,FALSE)</f>
        <v>US</v>
      </c>
      <c r="G38" s="4" t="str">
        <f>VLOOKUP($A38,releases,8,FALSE)</f>
        <v>Mono</v>
      </c>
      <c r="H38" s="4" t="str">
        <f>VLOOKUP($A38,releases,4,FALSE)</f>
        <v>Introducing... The Beatles</v>
      </c>
    </row>
    <row r="39" spans="1:8" x14ac:dyDescent="0.25">
      <c r="A39" t="s">
        <v>142</v>
      </c>
      <c r="B39">
        <v>10</v>
      </c>
      <c r="C39" t="s">
        <v>134</v>
      </c>
      <c r="D39" t="s">
        <v>135</v>
      </c>
      <c r="E39" s="4">
        <f>VLOOKUP($A39,releases,2,FALSE)</f>
        <v>1</v>
      </c>
      <c r="F39" s="4" t="str">
        <f>VLOOKUP($A39,releases,3,FALSE)</f>
        <v>US</v>
      </c>
      <c r="G39" s="4" t="str">
        <f>VLOOKUP($A39,releases,8,FALSE)</f>
        <v>Mono</v>
      </c>
      <c r="H39" s="4" t="str">
        <f>VLOOKUP($A39,releases,4,FALSE)</f>
        <v>Introducing... The Beatles</v>
      </c>
    </row>
    <row r="40" spans="1:8" x14ac:dyDescent="0.25">
      <c r="A40" t="s">
        <v>143</v>
      </c>
      <c r="B40">
        <v>1</v>
      </c>
      <c r="C40" t="s">
        <v>123</v>
      </c>
      <c r="D40" t="s">
        <v>105</v>
      </c>
      <c r="E40" s="4">
        <f>VLOOKUP($A40,releases,2,FALSE)</f>
        <v>1</v>
      </c>
      <c r="F40" s="4" t="str">
        <f>VLOOKUP($A40,releases,3,FALSE)</f>
        <v>US</v>
      </c>
      <c r="G40" s="4" t="str">
        <f>VLOOKUP($A40,releases,8,FALSE)</f>
        <v>Stereo</v>
      </c>
      <c r="H40" s="4" t="str">
        <f>VLOOKUP($A40,releases,4,FALSE)</f>
        <v>Introducing... The Beatles</v>
      </c>
    </row>
    <row r="41" spans="1:8" x14ac:dyDescent="0.25">
      <c r="A41" t="s">
        <v>143</v>
      </c>
      <c r="B41">
        <v>2</v>
      </c>
      <c r="C41" t="s">
        <v>124</v>
      </c>
      <c r="D41" t="s">
        <v>105</v>
      </c>
      <c r="E41" s="4">
        <f>VLOOKUP($A41,releases,2,FALSE)</f>
        <v>1</v>
      </c>
      <c r="F41" s="4" t="str">
        <f>VLOOKUP($A41,releases,3,FALSE)</f>
        <v>US</v>
      </c>
      <c r="G41" s="4" t="str">
        <f>VLOOKUP($A41,releases,8,FALSE)</f>
        <v>Stereo</v>
      </c>
      <c r="H41" s="4" t="str">
        <f>VLOOKUP($A41,releases,4,FALSE)</f>
        <v>Introducing... The Beatles</v>
      </c>
    </row>
    <row r="42" spans="1:8" x14ac:dyDescent="0.25">
      <c r="A42" t="s">
        <v>143</v>
      </c>
      <c r="B42">
        <v>3</v>
      </c>
      <c r="C42" t="s">
        <v>125</v>
      </c>
      <c r="D42" t="s">
        <v>126</v>
      </c>
      <c r="E42" s="4">
        <f>VLOOKUP($A42,releases,2,FALSE)</f>
        <v>1</v>
      </c>
      <c r="F42" s="4" t="str">
        <f>VLOOKUP($A42,releases,3,FALSE)</f>
        <v>US</v>
      </c>
      <c r="G42" s="4" t="str">
        <f>VLOOKUP($A42,releases,8,FALSE)</f>
        <v>Stereo</v>
      </c>
      <c r="H42" s="4" t="str">
        <f>VLOOKUP($A42,releases,4,FALSE)</f>
        <v>Introducing... The Beatles</v>
      </c>
    </row>
    <row r="43" spans="1:8" x14ac:dyDescent="0.25">
      <c r="A43" t="s">
        <v>143</v>
      </c>
      <c r="B43">
        <v>4</v>
      </c>
      <c r="C43" t="s">
        <v>127</v>
      </c>
      <c r="D43" t="s">
        <v>128</v>
      </c>
      <c r="E43" s="4">
        <f>VLOOKUP($A43,releases,2,FALSE)</f>
        <v>1</v>
      </c>
      <c r="F43" s="4" t="str">
        <f>VLOOKUP($A43,releases,3,FALSE)</f>
        <v>US</v>
      </c>
      <c r="G43" s="4" t="str">
        <f>VLOOKUP($A43,releases,8,FALSE)</f>
        <v>Stereo</v>
      </c>
      <c r="H43" s="4" t="str">
        <f>VLOOKUP($A43,releases,4,FALSE)</f>
        <v>Introducing... The Beatles</v>
      </c>
    </row>
    <row r="44" spans="1:8" x14ac:dyDescent="0.25">
      <c r="A44" t="s">
        <v>143</v>
      </c>
      <c r="B44">
        <v>5</v>
      </c>
      <c r="C44" t="s">
        <v>129</v>
      </c>
      <c r="D44" t="s">
        <v>130</v>
      </c>
      <c r="E44" s="4">
        <f>VLOOKUP($A44,releases,2,FALSE)</f>
        <v>1</v>
      </c>
      <c r="F44" s="4" t="str">
        <f>VLOOKUP($A44,releases,3,FALSE)</f>
        <v>US</v>
      </c>
      <c r="G44" s="4" t="str">
        <f>VLOOKUP($A44,releases,8,FALSE)</f>
        <v>Stereo</v>
      </c>
      <c r="H44" s="4" t="str">
        <f>VLOOKUP($A44,releases,4,FALSE)</f>
        <v>Introducing... The Beatles</v>
      </c>
    </row>
    <row r="45" spans="1:8" x14ac:dyDescent="0.25">
      <c r="A45" t="s">
        <v>143</v>
      </c>
      <c r="B45">
        <v>6</v>
      </c>
      <c r="C45" t="s">
        <v>131</v>
      </c>
      <c r="D45" t="s">
        <v>105</v>
      </c>
      <c r="E45" s="4">
        <f>VLOOKUP($A45,releases,2,FALSE)</f>
        <v>1</v>
      </c>
      <c r="F45" s="4" t="str">
        <f>VLOOKUP($A45,releases,3,FALSE)</f>
        <v>US</v>
      </c>
      <c r="G45" s="4" t="str">
        <f>VLOOKUP($A45,releases,8,FALSE)</f>
        <v>Stereo</v>
      </c>
      <c r="H45" s="4" t="str">
        <f>VLOOKUP($A45,releases,4,FALSE)</f>
        <v>Introducing... The Beatles</v>
      </c>
    </row>
    <row r="46" spans="1:8" x14ac:dyDescent="0.25">
      <c r="A46" t="s">
        <v>143</v>
      </c>
      <c r="B46">
        <v>7</v>
      </c>
      <c r="C46" t="s">
        <v>9</v>
      </c>
      <c r="D46" t="s">
        <v>105</v>
      </c>
      <c r="E46" s="4">
        <f>VLOOKUP($A46,releases,2,FALSE)</f>
        <v>1</v>
      </c>
      <c r="F46" s="4" t="str">
        <f>VLOOKUP($A46,releases,3,FALSE)</f>
        <v>US</v>
      </c>
      <c r="G46" s="4" t="str">
        <f>VLOOKUP($A46,releases,8,FALSE)</f>
        <v>Stereo</v>
      </c>
      <c r="H46" s="4" t="str">
        <f>VLOOKUP($A46,releases,4,FALSE)</f>
        <v>Introducing... The Beatles</v>
      </c>
    </row>
    <row r="47" spans="1:8" x14ac:dyDescent="0.25">
      <c r="A47" t="s">
        <v>143</v>
      </c>
      <c r="B47">
        <v>8</v>
      </c>
      <c r="C47" t="s">
        <v>132</v>
      </c>
      <c r="D47" t="s">
        <v>105</v>
      </c>
      <c r="E47" s="4">
        <f>VLOOKUP($A47,releases,2,FALSE)</f>
        <v>1</v>
      </c>
      <c r="F47" s="4" t="str">
        <f>VLOOKUP($A47,releases,3,FALSE)</f>
        <v>US</v>
      </c>
      <c r="G47" s="4" t="str">
        <f>VLOOKUP($A47,releases,8,FALSE)</f>
        <v>Stereo</v>
      </c>
      <c r="H47" s="4" t="str">
        <f>VLOOKUP($A47,releases,4,FALSE)</f>
        <v>Introducing... The Beatles</v>
      </c>
    </row>
    <row r="48" spans="1:8" x14ac:dyDescent="0.25">
      <c r="A48" t="s">
        <v>143</v>
      </c>
      <c r="B48">
        <v>9</v>
      </c>
      <c r="C48" t="s">
        <v>133</v>
      </c>
      <c r="D48" t="s">
        <v>105</v>
      </c>
      <c r="E48" s="4">
        <f>VLOOKUP($A48,releases,2,FALSE)</f>
        <v>1</v>
      </c>
      <c r="F48" s="4" t="str">
        <f>VLOOKUP($A48,releases,3,FALSE)</f>
        <v>US</v>
      </c>
      <c r="G48" s="4" t="str">
        <f>VLOOKUP($A48,releases,8,FALSE)</f>
        <v>Stereo</v>
      </c>
      <c r="H48" s="4" t="str">
        <f>VLOOKUP($A48,releases,4,FALSE)</f>
        <v>Introducing... The Beatles</v>
      </c>
    </row>
    <row r="49" spans="1:8" x14ac:dyDescent="0.25">
      <c r="A49" t="s">
        <v>143</v>
      </c>
      <c r="B49">
        <v>10</v>
      </c>
      <c r="C49" t="s">
        <v>134</v>
      </c>
      <c r="D49" t="s">
        <v>135</v>
      </c>
      <c r="E49" s="4">
        <f>VLOOKUP($A49,releases,2,FALSE)</f>
        <v>1</v>
      </c>
      <c r="F49" s="4" t="str">
        <f>VLOOKUP($A49,releases,3,FALSE)</f>
        <v>US</v>
      </c>
      <c r="G49" s="4" t="str">
        <f>VLOOKUP($A49,releases,8,FALSE)</f>
        <v>Stereo</v>
      </c>
      <c r="H49" s="4" t="str">
        <f>VLOOKUP($A49,releases,4,FALSE)</f>
        <v>Introducing... The Beatles</v>
      </c>
    </row>
    <row r="50" spans="1:8" x14ac:dyDescent="0.25">
      <c r="A50" t="s">
        <v>18</v>
      </c>
      <c r="B50">
        <v>1</v>
      </c>
      <c r="C50" t="s">
        <v>164</v>
      </c>
      <c r="D50" t="s">
        <v>105</v>
      </c>
      <c r="E50" s="4">
        <f>VLOOKUP($A50,releases,2,FALSE)</f>
        <v>2</v>
      </c>
      <c r="F50" s="4" t="str">
        <f>VLOOKUP($A50,releases,3,FALSE)</f>
        <v>US</v>
      </c>
      <c r="G50" s="4" t="str">
        <f>VLOOKUP($A50,releases,8,FALSE)</f>
        <v>Stereo</v>
      </c>
      <c r="H50" s="4" t="str">
        <f>VLOOKUP($A50,releases,4,FALSE)</f>
        <v>Meet the Beatles!</v>
      </c>
    </row>
    <row r="51" spans="1:8" x14ac:dyDescent="0.25">
      <c r="A51" t="s">
        <v>18</v>
      </c>
      <c r="B51">
        <v>2</v>
      </c>
      <c r="C51" t="s">
        <v>123</v>
      </c>
      <c r="D51" t="s">
        <v>105</v>
      </c>
      <c r="E51" s="4">
        <f>VLOOKUP($A51,releases,2,FALSE)</f>
        <v>2</v>
      </c>
      <c r="F51" s="4" t="str">
        <f>VLOOKUP($A51,releases,3,FALSE)</f>
        <v>US</v>
      </c>
      <c r="G51" s="4" t="str">
        <f>VLOOKUP($A51,releases,8,FALSE)</f>
        <v>Stereo</v>
      </c>
      <c r="H51" s="4" t="str">
        <f>VLOOKUP($A51,releases,4,FALSE)</f>
        <v>Meet the Beatles!</v>
      </c>
    </row>
    <row r="52" spans="1:8" x14ac:dyDescent="0.25">
      <c r="A52" t="s">
        <v>18</v>
      </c>
      <c r="B52">
        <v>3</v>
      </c>
      <c r="C52" t="s">
        <v>165</v>
      </c>
      <c r="D52" t="s">
        <v>105</v>
      </c>
      <c r="E52" s="4">
        <f>VLOOKUP($A52,releases,2,FALSE)</f>
        <v>2</v>
      </c>
      <c r="F52" s="4" t="str">
        <f>VLOOKUP($A52,releases,3,FALSE)</f>
        <v>US</v>
      </c>
      <c r="G52" s="4" t="str">
        <f>VLOOKUP($A52,releases,8,FALSE)</f>
        <v>Stereo</v>
      </c>
      <c r="H52" s="4" t="str">
        <f>VLOOKUP($A52,releases,4,FALSE)</f>
        <v>Meet the Beatles!</v>
      </c>
    </row>
    <row r="53" spans="1:8" x14ac:dyDescent="0.25">
      <c r="A53" t="s">
        <v>18</v>
      </c>
      <c r="B53">
        <v>4</v>
      </c>
      <c r="C53" t="s">
        <v>144</v>
      </c>
      <c r="D53" t="s">
        <v>105</v>
      </c>
      <c r="E53" s="4">
        <f>VLOOKUP($A53,releases,2,FALSE)</f>
        <v>2</v>
      </c>
      <c r="F53" s="4" t="str">
        <f>VLOOKUP($A53,releases,3,FALSE)</f>
        <v>US</v>
      </c>
      <c r="G53" s="4" t="str">
        <f>VLOOKUP($A53,releases,8,FALSE)</f>
        <v>Stereo</v>
      </c>
      <c r="H53" s="4" t="str">
        <f>VLOOKUP($A53,releases,4,FALSE)</f>
        <v>Meet the Beatles!</v>
      </c>
    </row>
    <row r="54" spans="1:8" x14ac:dyDescent="0.25">
      <c r="A54" t="s">
        <v>18</v>
      </c>
      <c r="B54">
        <v>5</v>
      </c>
      <c r="C54" t="s">
        <v>145</v>
      </c>
      <c r="D54" t="s">
        <v>105</v>
      </c>
      <c r="E54" s="4">
        <f>VLOOKUP($A54,releases,2,FALSE)</f>
        <v>2</v>
      </c>
      <c r="F54" s="4" t="str">
        <f>VLOOKUP($A54,releases,3,FALSE)</f>
        <v>US</v>
      </c>
      <c r="G54" s="4" t="str">
        <f>VLOOKUP($A54,releases,8,FALSE)</f>
        <v>Stereo</v>
      </c>
      <c r="H54" s="4" t="str">
        <f>VLOOKUP($A54,releases,4,FALSE)</f>
        <v>Meet the Beatles!</v>
      </c>
    </row>
    <row r="55" spans="1:8" x14ac:dyDescent="0.25">
      <c r="A55" t="s">
        <v>18</v>
      </c>
      <c r="B55">
        <v>6</v>
      </c>
      <c r="C55" t="s">
        <v>146</v>
      </c>
      <c r="D55" t="s">
        <v>105</v>
      </c>
      <c r="E55" s="4">
        <f>VLOOKUP($A55,releases,2,FALSE)</f>
        <v>2</v>
      </c>
      <c r="F55" s="4" t="str">
        <f>VLOOKUP($A55,releases,3,FALSE)</f>
        <v>US</v>
      </c>
      <c r="G55" s="4" t="str">
        <f>VLOOKUP($A55,releases,8,FALSE)</f>
        <v>Stereo</v>
      </c>
      <c r="H55" s="4" t="str">
        <f>VLOOKUP($A55,releases,4,FALSE)</f>
        <v>Meet the Beatles!</v>
      </c>
    </row>
    <row r="56" spans="1:8" x14ac:dyDescent="0.25">
      <c r="A56" t="s">
        <v>18</v>
      </c>
      <c r="B56">
        <v>7</v>
      </c>
      <c r="C56" t="s">
        <v>147</v>
      </c>
      <c r="D56" t="s">
        <v>110</v>
      </c>
      <c r="E56" s="4">
        <f>VLOOKUP($A56,releases,2,FALSE)</f>
        <v>2</v>
      </c>
      <c r="F56" s="4" t="str">
        <f>VLOOKUP($A56,releases,3,FALSE)</f>
        <v>US</v>
      </c>
      <c r="G56" s="4" t="str">
        <f>VLOOKUP($A56,releases,8,FALSE)</f>
        <v>Stereo</v>
      </c>
      <c r="H56" s="4" t="str">
        <f>VLOOKUP($A56,releases,4,FALSE)</f>
        <v>Meet the Beatles!</v>
      </c>
    </row>
    <row r="57" spans="1:8" x14ac:dyDescent="0.25">
      <c r="A57" t="s">
        <v>18</v>
      </c>
      <c r="B57">
        <v>8</v>
      </c>
      <c r="C57" t="s">
        <v>148</v>
      </c>
      <c r="D57" t="s">
        <v>105</v>
      </c>
      <c r="E57" s="4">
        <f>VLOOKUP($A57,releases,2,FALSE)</f>
        <v>2</v>
      </c>
      <c r="F57" s="4" t="str">
        <f>VLOOKUP($A57,releases,3,FALSE)</f>
        <v>US</v>
      </c>
      <c r="G57" s="4" t="str">
        <f>VLOOKUP($A57,releases,8,FALSE)</f>
        <v>Stereo</v>
      </c>
      <c r="H57" s="4" t="str">
        <f>VLOOKUP($A57,releases,4,FALSE)</f>
        <v>Meet the Beatles!</v>
      </c>
    </row>
    <row r="58" spans="1:8" x14ac:dyDescent="0.25">
      <c r="A58" t="s">
        <v>18</v>
      </c>
      <c r="B58">
        <v>9</v>
      </c>
      <c r="C58" t="s">
        <v>149</v>
      </c>
      <c r="D58" t="s">
        <v>150</v>
      </c>
      <c r="E58" s="4">
        <f>VLOOKUP($A58,releases,2,FALSE)</f>
        <v>2</v>
      </c>
      <c r="F58" s="4" t="str">
        <f>VLOOKUP($A58,releases,3,FALSE)</f>
        <v>US</v>
      </c>
      <c r="G58" s="4" t="str">
        <f>VLOOKUP($A58,releases,8,FALSE)</f>
        <v>Stereo</v>
      </c>
      <c r="H58" s="4" t="str">
        <f>VLOOKUP($A58,releases,4,FALSE)</f>
        <v>Meet the Beatles!</v>
      </c>
    </row>
    <row r="59" spans="1:8" x14ac:dyDescent="0.25">
      <c r="A59" t="s">
        <v>18</v>
      </c>
      <c r="B59">
        <v>10</v>
      </c>
      <c r="C59" t="s">
        <v>155</v>
      </c>
      <c r="D59" t="s">
        <v>105</v>
      </c>
      <c r="E59" s="4">
        <f>VLOOKUP($A59,releases,2,FALSE)</f>
        <v>2</v>
      </c>
      <c r="F59" s="4" t="str">
        <f>VLOOKUP($A59,releases,3,FALSE)</f>
        <v>US</v>
      </c>
      <c r="G59" s="4" t="str">
        <f>VLOOKUP($A59,releases,8,FALSE)</f>
        <v>Stereo</v>
      </c>
      <c r="H59" s="4" t="str">
        <f>VLOOKUP($A59,releases,4,FALSE)</f>
        <v>Meet the Beatles!</v>
      </c>
    </row>
    <row r="60" spans="1:8" x14ac:dyDescent="0.25">
      <c r="A60" t="s">
        <v>18</v>
      </c>
      <c r="B60">
        <v>11</v>
      </c>
      <c r="C60" t="s">
        <v>158</v>
      </c>
      <c r="D60" t="s">
        <v>105</v>
      </c>
      <c r="E60" s="4">
        <f>VLOOKUP($A60,releases,2,FALSE)</f>
        <v>2</v>
      </c>
      <c r="F60" s="4" t="str">
        <f>VLOOKUP($A60,releases,3,FALSE)</f>
        <v>US</v>
      </c>
      <c r="G60" s="4" t="str">
        <f>VLOOKUP($A60,releases,8,FALSE)</f>
        <v>Stereo</v>
      </c>
      <c r="H60" s="4" t="str">
        <f>VLOOKUP($A60,releases,4,FALSE)</f>
        <v>Meet the Beatles!</v>
      </c>
    </row>
    <row r="61" spans="1:8" x14ac:dyDescent="0.25">
      <c r="A61" t="s">
        <v>18</v>
      </c>
      <c r="B61">
        <v>12</v>
      </c>
      <c r="C61" t="s">
        <v>161</v>
      </c>
      <c r="D61" t="s">
        <v>105</v>
      </c>
      <c r="E61" s="4">
        <f>VLOOKUP($A61,releases,2,FALSE)</f>
        <v>2</v>
      </c>
      <c r="F61" s="4" t="str">
        <f>VLOOKUP($A61,releases,3,FALSE)</f>
        <v>US</v>
      </c>
      <c r="G61" s="4" t="str">
        <f>VLOOKUP($A61,releases,8,FALSE)</f>
        <v>Stereo</v>
      </c>
      <c r="H61" s="4" t="str">
        <f>VLOOKUP($A61,releases,4,FALSE)</f>
        <v>Meet the Beatles!</v>
      </c>
    </row>
    <row r="62" spans="1:8" x14ac:dyDescent="0.25">
      <c r="A62" t="s">
        <v>14</v>
      </c>
      <c r="B62">
        <v>1</v>
      </c>
      <c r="C62" t="s">
        <v>164</v>
      </c>
      <c r="D62" t="s">
        <v>105</v>
      </c>
      <c r="E62" s="4">
        <f>VLOOKUP($A62,releases,2,FALSE)</f>
        <v>2</v>
      </c>
      <c r="F62" s="4" t="str">
        <f>VLOOKUP($A62,releases,3,FALSE)</f>
        <v>US</v>
      </c>
      <c r="G62" s="4" t="str">
        <f>VLOOKUP($A62,releases,8,FALSE)</f>
        <v>Mono</v>
      </c>
      <c r="H62" s="4" t="str">
        <f>VLOOKUP($A62,releases,4,FALSE)</f>
        <v>Meet the Beatles!</v>
      </c>
    </row>
    <row r="63" spans="1:8" x14ac:dyDescent="0.25">
      <c r="A63" t="s">
        <v>14</v>
      </c>
      <c r="B63">
        <v>2</v>
      </c>
      <c r="C63" t="s">
        <v>123</v>
      </c>
      <c r="D63" t="s">
        <v>105</v>
      </c>
      <c r="E63" s="4">
        <f>VLOOKUP($A63,releases,2,FALSE)</f>
        <v>2</v>
      </c>
      <c r="F63" s="4" t="str">
        <f>VLOOKUP($A63,releases,3,FALSE)</f>
        <v>US</v>
      </c>
      <c r="G63" s="4" t="str">
        <f>VLOOKUP($A63,releases,8,FALSE)</f>
        <v>Mono</v>
      </c>
      <c r="H63" s="4" t="str">
        <f>VLOOKUP($A63,releases,4,FALSE)</f>
        <v>Meet the Beatles!</v>
      </c>
    </row>
    <row r="64" spans="1:8" x14ac:dyDescent="0.25">
      <c r="A64" t="s">
        <v>14</v>
      </c>
      <c r="B64">
        <v>3</v>
      </c>
      <c r="C64" t="s">
        <v>165</v>
      </c>
      <c r="D64" t="s">
        <v>105</v>
      </c>
      <c r="E64" s="4">
        <f>VLOOKUP($A64,releases,2,FALSE)</f>
        <v>2</v>
      </c>
      <c r="F64" s="4" t="str">
        <f>VLOOKUP($A64,releases,3,FALSE)</f>
        <v>US</v>
      </c>
      <c r="G64" s="4" t="str">
        <f>VLOOKUP($A64,releases,8,FALSE)</f>
        <v>Mono</v>
      </c>
      <c r="H64" s="4" t="str">
        <f>VLOOKUP($A64,releases,4,FALSE)</f>
        <v>Meet the Beatles!</v>
      </c>
    </row>
    <row r="65" spans="1:8" x14ac:dyDescent="0.25">
      <c r="A65" t="s">
        <v>14</v>
      </c>
      <c r="B65">
        <v>4</v>
      </c>
      <c r="C65" t="s">
        <v>144</v>
      </c>
      <c r="D65" t="s">
        <v>105</v>
      </c>
      <c r="E65" s="4">
        <f>VLOOKUP($A65,releases,2,FALSE)</f>
        <v>2</v>
      </c>
      <c r="F65" s="4" t="str">
        <f>VLOOKUP($A65,releases,3,FALSE)</f>
        <v>US</v>
      </c>
      <c r="G65" s="4" t="str">
        <f>VLOOKUP($A65,releases,8,FALSE)</f>
        <v>Mono</v>
      </c>
      <c r="H65" s="4" t="str">
        <f>VLOOKUP($A65,releases,4,FALSE)</f>
        <v>Meet the Beatles!</v>
      </c>
    </row>
    <row r="66" spans="1:8" x14ac:dyDescent="0.25">
      <c r="A66" t="s">
        <v>14</v>
      </c>
      <c r="B66">
        <v>5</v>
      </c>
      <c r="C66" t="s">
        <v>145</v>
      </c>
      <c r="D66" t="s">
        <v>105</v>
      </c>
      <c r="E66" s="4">
        <f>VLOOKUP($A66,releases,2,FALSE)</f>
        <v>2</v>
      </c>
      <c r="F66" s="4" t="str">
        <f>VLOOKUP($A66,releases,3,FALSE)</f>
        <v>US</v>
      </c>
      <c r="G66" s="4" t="str">
        <f>VLOOKUP($A66,releases,8,FALSE)</f>
        <v>Mono</v>
      </c>
      <c r="H66" s="4" t="str">
        <f>VLOOKUP($A66,releases,4,FALSE)</f>
        <v>Meet the Beatles!</v>
      </c>
    </row>
    <row r="67" spans="1:8" x14ac:dyDescent="0.25">
      <c r="A67" t="s">
        <v>14</v>
      </c>
      <c r="B67">
        <v>6</v>
      </c>
      <c r="C67" t="s">
        <v>146</v>
      </c>
      <c r="D67" t="s">
        <v>105</v>
      </c>
      <c r="E67" s="4">
        <f>VLOOKUP($A67,releases,2,FALSE)</f>
        <v>2</v>
      </c>
      <c r="F67" s="4" t="str">
        <f>VLOOKUP($A67,releases,3,FALSE)</f>
        <v>US</v>
      </c>
      <c r="G67" s="4" t="str">
        <f>VLOOKUP($A67,releases,8,FALSE)</f>
        <v>Mono</v>
      </c>
      <c r="H67" s="4" t="str">
        <f>VLOOKUP($A67,releases,4,FALSE)</f>
        <v>Meet the Beatles!</v>
      </c>
    </row>
    <row r="68" spans="1:8" x14ac:dyDescent="0.25">
      <c r="A68" t="s">
        <v>14</v>
      </c>
      <c r="B68">
        <v>7</v>
      </c>
      <c r="C68" t="s">
        <v>147</v>
      </c>
      <c r="D68" t="s">
        <v>110</v>
      </c>
      <c r="E68" s="4">
        <f>VLOOKUP($A68,releases,2,FALSE)</f>
        <v>2</v>
      </c>
      <c r="F68" s="4" t="str">
        <f>VLOOKUP($A68,releases,3,FALSE)</f>
        <v>US</v>
      </c>
      <c r="G68" s="4" t="str">
        <f>VLOOKUP($A68,releases,8,FALSE)</f>
        <v>Mono</v>
      </c>
      <c r="H68" s="4" t="str">
        <f>VLOOKUP($A68,releases,4,FALSE)</f>
        <v>Meet the Beatles!</v>
      </c>
    </row>
    <row r="69" spans="1:8" x14ac:dyDescent="0.25">
      <c r="A69" t="s">
        <v>14</v>
      </c>
      <c r="B69">
        <v>8</v>
      </c>
      <c r="C69" t="s">
        <v>148</v>
      </c>
      <c r="D69" t="s">
        <v>105</v>
      </c>
      <c r="E69" s="4">
        <f>VLOOKUP($A69,releases,2,FALSE)</f>
        <v>2</v>
      </c>
      <c r="F69" s="4" t="str">
        <f>VLOOKUP($A69,releases,3,FALSE)</f>
        <v>US</v>
      </c>
      <c r="G69" s="4" t="str">
        <f>VLOOKUP($A69,releases,8,FALSE)</f>
        <v>Mono</v>
      </c>
      <c r="H69" s="4" t="str">
        <f>VLOOKUP($A69,releases,4,FALSE)</f>
        <v>Meet the Beatles!</v>
      </c>
    </row>
    <row r="70" spans="1:8" x14ac:dyDescent="0.25">
      <c r="A70" t="s">
        <v>14</v>
      </c>
      <c r="B70">
        <v>9</v>
      </c>
      <c r="C70" t="s">
        <v>149</v>
      </c>
      <c r="D70" t="s">
        <v>150</v>
      </c>
      <c r="E70" s="4">
        <f>VLOOKUP($A70,releases,2,FALSE)</f>
        <v>2</v>
      </c>
      <c r="F70" s="4" t="str">
        <f>VLOOKUP($A70,releases,3,FALSE)</f>
        <v>US</v>
      </c>
      <c r="G70" s="4" t="str">
        <f>VLOOKUP($A70,releases,8,FALSE)</f>
        <v>Mono</v>
      </c>
      <c r="H70" s="4" t="str">
        <f>VLOOKUP($A70,releases,4,FALSE)</f>
        <v>Meet the Beatles!</v>
      </c>
    </row>
    <row r="71" spans="1:8" x14ac:dyDescent="0.25">
      <c r="A71" t="s">
        <v>14</v>
      </c>
      <c r="B71">
        <v>10</v>
      </c>
      <c r="C71" t="s">
        <v>155</v>
      </c>
      <c r="D71" t="s">
        <v>105</v>
      </c>
      <c r="E71" s="4">
        <f>VLOOKUP($A71,releases,2,FALSE)</f>
        <v>2</v>
      </c>
      <c r="F71" s="4" t="str">
        <f>VLOOKUP($A71,releases,3,FALSE)</f>
        <v>US</v>
      </c>
      <c r="G71" s="4" t="str">
        <f>VLOOKUP($A71,releases,8,FALSE)</f>
        <v>Mono</v>
      </c>
      <c r="H71" s="4" t="str">
        <f>VLOOKUP($A71,releases,4,FALSE)</f>
        <v>Meet the Beatles!</v>
      </c>
    </row>
    <row r="72" spans="1:8" x14ac:dyDescent="0.25">
      <c r="A72" t="s">
        <v>14</v>
      </c>
      <c r="B72">
        <v>11</v>
      </c>
      <c r="C72" t="s">
        <v>158</v>
      </c>
      <c r="D72" t="s">
        <v>105</v>
      </c>
      <c r="E72" s="4">
        <f>VLOOKUP($A72,releases,2,FALSE)</f>
        <v>2</v>
      </c>
      <c r="F72" s="4" t="str">
        <f>VLOOKUP($A72,releases,3,FALSE)</f>
        <v>US</v>
      </c>
      <c r="G72" s="4" t="str">
        <f>VLOOKUP($A72,releases,8,FALSE)</f>
        <v>Mono</v>
      </c>
      <c r="H72" s="4" t="str">
        <f>VLOOKUP($A72,releases,4,FALSE)</f>
        <v>Meet the Beatles!</v>
      </c>
    </row>
    <row r="73" spans="1:8" x14ac:dyDescent="0.25">
      <c r="A73" t="s">
        <v>14</v>
      </c>
      <c r="B73">
        <v>12</v>
      </c>
      <c r="C73" t="s">
        <v>161</v>
      </c>
      <c r="D73" t="s">
        <v>105</v>
      </c>
      <c r="E73" s="4">
        <f>VLOOKUP($A73,releases,2,FALSE)</f>
        <v>2</v>
      </c>
      <c r="F73" s="4" t="str">
        <f>VLOOKUP($A73,releases,3,FALSE)</f>
        <v>US</v>
      </c>
      <c r="G73" s="4" t="str">
        <f>VLOOKUP($A73,releases,8,FALSE)</f>
        <v>Mono</v>
      </c>
      <c r="H73" s="4" t="str">
        <f>VLOOKUP($A73,releases,4,FALSE)</f>
        <v>Meet the Beatles!</v>
      </c>
    </row>
    <row r="74" spans="1:8" x14ac:dyDescent="0.25">
      <c r="A74" t="s">
        <v>21</v>
      </c>
      <c r="B74">
        <v>1</v>
      </c>
      <c r="C74" t="s">
        <v>144</v>
      </c>
      <c r="D74" t="s">
        <v>105</v>
      </c>
      <c r="E74" s="4">
        <f>VLOOKUP($A74,releases,2,FALSE)</f>
        <v>2</v>
      </c>
      <c r="F74" s="4" t="str">
        <f>VLOOKUP($A74,releases,3,FALSE)</f>
        <v>UK</v>
      </c>
      <c r="G74" s="4" t="str">
        <f>VLOOKUP($A74,releases,8,FALSE)</f>
        <v>Stereo</v>
      </c>
      <c r="H74" s="4" t="str">
        <f>VLOOKUP($A74,releases,4,FALSE)</f>
        <v>With the Beatles</v>
      </c>
    </row>
    <row r="75" spans="1:8" x14ac:dyDescent="0.25">
      <c r="A75" t="s">
        <v>21</v>
      </c>
      <c r="B75">
        <v>2</v>
      </c>
      <c r="C75" t="s">
        <v>145</v>
      </c>
      <c r="D75" t="s">
        <v>105</v>
      </c>
      <c r="E75" s="4">
        <f>VLOOKUP($A75,releases,2,FALSE)</f>
        <v>2</v>
      </c>
      <c r="F75" s="4" t="str">
        <f>VLOOKUP($A75,releases,3,FALSE)</f>
        <v>UK</v>
      </c>
      <c r="G75" s="4" t="str">
        <f>VLOOKUP($A75,releases,8,FALSE)</f>
        <v>Stereo</v>
      </c>
      <c r="H75" s="4" t="str">
        <f>VLOOKUP($A75,releases,4,FALSE)</f>
        <v>With the Beatles</v>
      </c>
    </row>
    <row r="76" spans="1:8" x14ac:dyDescent="0.25">
      <c r="A76" t="s">
        <v>21</v>
      </c>
      <c r="B76">
        <v>3</v>
      </c>
      <c r="C76" t="s">
        <v>146</v>
      </c>
      <c r="D76" t="s">
        <v>105</v>
      </c>
      <c r="E76" s="4">
        <f>VLOOKUP($A76,releases,2,FALSE)</f>
        <v>2</v>
      </c>
      <c r="F76" s="4" t="str">
        <f>VLOOKUP($A76,releases,3,FALSE)</f>
        <v>UK</v>
      </c>
      <c r="G76" s="4" t="str">
        <f>VLOOKUP($A76,releases,8,FALSE)</f>
        <v>Stereo</v>
      </c>
      <c r="H76" s="4" t="str">
        <f>VLOOKUP($A76,releases,4,FALSE)</f>
        <v>With the Beatles</v>
      </c>
    </row>
    <row r="77" spans="1:8" x14ac:dyDescent="0.25">
      <c r="A77" t="s">
        <v>21</v>
      </c>
      <c r="B77">
        <v>4</v>
      </c>
      <c r="C77" t="s">
        <v>147</v>
      </c>
      <c r="D77" t="s">
        <v>110</v>
      </c>
      <c r="E77" s="4">
        <f>VLOOKUP($A77,releases,2,FALSE)</f>
        <v>2</v>
      </c>
      <c r="F77" s="4" t="str">
        <f>VLOOKUP($A77,releases,3,FALSE)</f>
        <v>UK</v>
      </c>
      <c r="G77" s="4" t="str">
        <f>VLOOKUP($A77,releases,8,FALSE)</f>
        <v>Stereo</v>
      </c>
      <c r="H77" s="4" t="str">
        <f>VLOOKUP($A77,releases,4,FALSE)</f>
        <v>With the Beatles</v>
      </c>
    </row>
    <row r="78" spans="1:8" x14ac:dyDescent="0.25">
      <c r="A78" t="s">
        <v>21</v>
      </c>
      <c r="B78">
        <v>5</v>
      </c>
      <c r="C78" t="s">
        <v>148</v>
      </c>
      <c r="D78" t="s">
        <v>105</v>
      </c>
      <c r="E78" s="4">
        <f>VLOOKUP($A78,releases,2,FALSE)</f>
        <v>2</v>
      </c>
      <c r="F78" s="4" t="str">
        <f>VLOOKUP($A78,releases,3,FALSE)</f>
        <v>UK</v>
      </c>
      <c r="G78" s="4" t="str">
        <f>VLOOKUP($A78,releases,8,FALSE)</f>
        <v>Stereo</v>
      </c>
      <c r="H78" s="4" t="str">
        <f>VLOOKUP($A78,releases,4,FALSE)</f>
        <v>With the Beatles</v>
      </c>
    </row>
    <row r="79" spans="1:8" x14ac:dyDescent="0.25">
      <c r="A79" t="s">
        <v>21</v>
      </c>
      <c r="B79">
        <v>6</v>
      </c>
      <c r="C79" t="s">
        <v>149</v>
      </c>
      <c r="D79" t="s">
        <v>150</v>
      </c>
      <c r="E79" s="4">
        <f>VLOOKUP($A79,releases,2,FALSE)</f>
        <v>2</v>
      </c>
      <c r="F79" s="4" t="str">
        <f>VLOOKUP($A79,releases,3,FALSE)</f>
        <v>UK</v>
      </c>
      <c r="G79" s="4" t="str">
        <f>VLOOKUP($A79,releases,8,FALSE)</f>
        <v>Stereo</v>
      </c>
      <c r="H79" s="4" t="str">
        <f>VLOOKUP($A79,releases,4,FALSE)</f>
        <v>With the Beatles</v>
      </c>
    </row>
    <row r="80" spans="1:8" x14ac:dyDescent="0.25">
      <c r="A80" t="s">
        <v>21</v>
      </c>
      <c r="B80">
        <v>7</v>
      </c>
      <c r="C80" t="s">
        <v>151</v>
      </c>
      <c r="D80" t="s">
        <v>152</v>
      </c>
      <c r="E80" s="4">
        <f>VLOOKUP($A80,releases,2,FALSE)</f>
        <v>2</v>
      </c>
      <c r="F80" s="4" t="str">
        <f>VLOOKUP($A80,releases,3,FALSE)</f>
        <v>UK</v>
      </c>
      <c r="G80" s="4" t="str">
        <f>VLOOKUP($A80,releases,8,FALSE)</f>
        <v>Stereo</v>
      </c>
      <c r="H80" s="4" t="str">
        <f>VLOOKUP($A80,releases,4,FALSE)</f>
        <v>With the Beatles</v>
      </c>
    </row>
    <row r="81" spans="1:8" x14ac:dyDescent="0.25">
      <c r="A81" t="s">
        <v>21</v>
      </c>
      <c r="B81">
        <v>8</v>
      </c>
      <c r="C81" t="s">
        <v>153</v>
      </c>
      <c r="D81" t="s">
        <v>154</v>
      </c>
      <c r="E81" s="4">
        <f>VLOOKUP($A81,releases,2,FALSE)</f>
        <v>2</v>
      </c>
      <c r="F81" s="4" t="str">
        <f>VLOOKUP($A81,releases,3,FALSE)</f>
        <v>UK</v>
      </c>
      <c r="G81" s="4" t="str">
        <f>VLOOKUP($A81,releases,8,FALSE)</f>
        <v>Stereo</v>
      </c>
      <c r="H81" s="4" t="str">
        <f>VLOOKUP($A81,releases,4,FALSE)</f>
        <v>With the Beatles</v>
      </c>
    </row>
    <row r="82" spans="1:8" x14ac:dyDescent="0.25">
      <c r="A82" t="s">
        <v>21</v>
      </c>
      <c r="B82">
        <v>9</v>
      </c>
      <c r="C82" t="s">
        <v>155</v>
      </c>
      <c r="D82" t="s">
        <v>105</v>
      </c>
      <c r="E82" s="4">
        <f>VLOOKUP($A82,releases,2,FALSE)</f>
        <v>2</v>
      </c>
      <c r="F82" s="4" t="str">
        <f>VLOOKUP($A82,releases,3,FALSE)</f>
        <v>UK</v>
      </c>
      <c r="G82" s="4" t="str">
        <f>VLOOKUP($A82,releases,8,FALSE)</f>
        <v>Stereo</v>
      </c>
      <c r="H82" s="4" t="str">
        <f>VLOOKUP($A82,releases,4,FALSE)</f>
        <v>With the Beatles</v>
      </c>
    </row>
    <row r="83" spans="1:8" x14ac:dyDescent="0.25">
      <c r="A83" t="s">
        <v>21</v>
      </c>
      <c r="B83">
        <v>10</v>
      </c>
      <c r="C83" t="s">
        <v>156</v>
      </c>
      <c r="D83" t="s">
        <v>157</v>
      </c>
      <c r="E83" s="4">
        <f>VLOOKUP($A83,releases,2,FALSE)</f>
        <v>2</v>
      </c>
      <c r="F83" s="4" t="str">
        <f>VLOOKUP($A83,releases,3,FALSE)</f>
        <v>UK</v>
      </c>
      <c r="G83" s="4" t="str">
        <f>VLOOKUP($A83,releases,8,FALSE)</f>
        <v>Stereo</v>
      </c>
      <c r="H83" s="4" t="str">
        <f>VLOOKUP($A83,releases,4,FALSE)</f>
        <v>With the Beatles</v>
      </c>
    </row>
    <row r="84" spans="1:8" x14ac:dyDescent="0.25">
      <c r="A84" t="s">
        <v>21</v>
      </c>
      <c r="B84">
        <v>11</v>
      </c>
      <c r="C84" t="s">
        <v>158</v>
      </c>
      <c r="D84" t="s">
        <v>105</v>
      </c>
      <c r="E84" s="4">
        <f>VLOOKUP($A84,releases,2,FALSE)</f>
        <v>2</v>
      </c>
      <c r="F84" s="4" t="str">
        <f>VLOOKUP($A84,releases,3,FALSE)</f>
        <v>UK</v>
      </c>
      <c r="G84" s="4" t="str">
        <f>VLOOKUP($A84,releases,8,FALSE)</f>
        <v>Stereo</v>
      </c>
      <c r="H84" s="4" t="str">
        <f>VLOOKUP($A84,releases,4,FALSE)</f>
        <v>With the Beatles</v>
      </c>
    </row>
    <row r="85" spans="1:8" x14ac:dyDescent="0.25">
      <c r="A85" t="s">
        <v>21</v>
      </c>
      <c r="B85">
        <v>12</v>
      </c>
      <c r="C85" t="s">
        <v>159</v>
      </c>
      <c r="D85" t="s">
        <v>160</v>
      </c>
      <c r="E85" s="4">
        <f>VLOOKUP($A85,releases,2,FALSE)</f>
        <v>2</v>
      </c>
      <c r="F85" s="4" t="str">
        <f>VLOOKUP($A85,releases,3,FALSE)</f>
        <v>UK</v>
      </c>
      <c r="G85" s="4" t="str">
        <f>VLOOKUP($A85,releases,8,FALSE)</f>
        <v>Stereo</v>
      </c>
      <c r="H85" s="4" t="str">
        <f>VLOOKUP($A85,releases,4,FALSE)</f>
        <v>With the Beatles</v>
      </c>
    </row>
    <row r="86" spans="1:8" x14ac:dyDescent="0.25">
      <c r="A86" t="s">
        <v>21</v>
      </c>
      <c r="B86">
        <v>13</v>
      </c>
      <c r="C86" t="s">
        <v>161</v>
      </c>
      <c r="D86" t="s">
        <v>105</v>
      </c>
      <c r="E86" s="4">
        <f>VLOOKUP($A86,releases,2,FALSE)</f>
        <v>2</v>
      </c>
      <c r="F86" s="4" t="str">
        <f>VLOOKUP($A86,releases,3,FALSE)</f>
        <v>UK</v>
      </c>
      <c r="G86" s="4" t="str">
        <f>VLOOKUP($A86,releases,8,FALSE)</f>
        <v>Stereo</v>
      </c>
      <c r="H86" s="4" t="str">
        <f>VLOOKUP($A86,releases,4,FALSE)</f>
        <v>With the Beatles</v>
      </c>
    </row>
    <row r="87" spans="1:8" x14ac:dyDescent="0.25">
      <c r="A87" t="s">
        <v>21</v>
      </c>
      <c r="B87">
        <v>14</v>
      </c>
      <c r="C87" t="s">
        <v>162</v>
      </c>
      <c r="D87" t="s">
        <v>163</v>
      </c>
      <c r="E87" s="4">
        <f>VLOOKUP($A87,releases,2,FALSE)</f>
        <v>2</v>
      </c>
      <c r="F87" s="4" t="str">
        <f>VLOOKUP($A87,releases,3,FALSE)</f>
        <v>UK</v>
      </c>
      <c r="G87" s="4" t="str">
        <f>VLOOKUP($A87,releases,8,FALSE)</f>
        <v>Stereo</v>
      </c>
      <c r="H87" s="4" t="str">
        <f>VLOOKUP($A87,releases,4,FALSE)</f>
        <v>With the Beatles</v>
      </c>
    </row>
    <row r="88" spans="1:8" x14ac:dyDescent="0.25">
      <c r="A88" t="s">
        <v>19</v>
      </c>
      <c r="B88">
        <v>1</v>
      </c>
      <c r="C88" t="s">
        <v>144</v>
      </c>
      <c r="D88" t="s">
        <v>105</v>
      </c>
      <c r="E88" s="4">
        <f>VLOOKUP($A88,releases,2,FALSE)</f>
        <v>2</v>
      </c>
      <c r="F88" s="4" t="str">
        <f>VLOOKUP($A88,releases,3,FALSE)</f>
        <v>UK</v>
      </c>
      <c r="G88" s="4" t="str">
        <f>VLOOKUP($A88,releases,8,FALSE)</f>
        <v>Mono</v>
      </c>
      <c r="H88" s="4" t="str">
        <f>VLOOKUP($A88,releases,4,FALSE)</f>
        <v>With the Beatles</v>
      </c>
    </row>
    <row r="89" spans="1:8" x14ac:dyDescent="0.25">
      <c r="A89" t="s">
        <v>19</v>
      </c>
      <c r="B89">
        <v>2</v>
      </c>
      <c r="C89" t="s">
        <v>145</v>
      </c>
      <c r="D89" t="s">
        <v>105</v>
      </c>
      <c r="E89" s="4">
        <f>VLOOKUP($A89,releases,2,FALSE)</f>
        <v>2</v>
      </c>
      <c r="F89" s="4" t="str">
        <f>VLOOKUP($A89,releases,3,FALSE)</f>
        <v>UK</v>
      </c>
      <c r="G89" s="4" t="str">
        <f>VLOOKUP($A89,releases,8,FALSE)</f>
        <v>Mono</v>
      </c>
      <c r="H89" s="4" t="str">
        <f>VLOOKUP($A89,releases,4,FALSE)</f>
        <v>With the Beatles</v>
      </c>
    </row>
    <row r="90" spans="1:8" x14ac:dyDescent="0.25">
      <c r="A90" t="s">
        <v>19</v>
      </c>
      <c r="B90">
        <v>3</v>
      </c>
      <c r="C90" t="s">
        <v>146</v>
      </c>
      <c r="D90" t="s">
        <v>105</v>
      </c>
      <c r="E90" s="4">
        <f>VLOOKUP($A90,releases,2,FALSE)</f>
        <v>2</v>
      </c>
      <c r="F90" s="4" t="str">
        <f>VLOOKUP($A90,releases,3,FALSE)</f>
        <v>UK</v>
      </c>
      <c r="G90" s="4" t="str">
        <f>VLOOKUP($A90,releases,8,FALSE)</f>
        <v>Mono</v>
      </c>
      <c r="H90" s="4" t="str">
        <f>VLOOKUP($A90,releases,4,FALSE)</f>
        <v>With the Beatles</v>
      </c>
    </row>
    <row r="91" spans="1:8" x14ac:dyDescent="0.25">
      <c r="A91" t="s">
        <v>19</v>
      </c>
      <c r="B91">
        <v>4</v>
      </c>
      <c r="C91" t="s">
        <v>147</v>
      </c>
      <c r="D91" t="s">
        <v>110</v>
      </c>
      <c r="E91" s="4">
        <f>VLOOKUP($A91,releases,2,FALSE)</f>
        <v>2</v>
      </c>
      <c r="F91" s="4" t="str">
        <f>VLOOKUP($A91,releases,3,FALSE)</f>
        <v>UK</v>
      </c>
      <c r="G91" s="4" t="str">
        <f>VLOOKUP($A91,releases,8,FALSE)</f>
        <v>Mono</v>
      </c>
      <c r="H91" s="4" t="str">
        <f>VLOOKUP($A91,releases,4,FALSE)</f>
        <v>With the Beatles</v>
      </c>
    </row>
    <row r="92" spans="1:8" x14ac:dyDescent="0.25">
      <c r="A92" t="s">
        <v>19</v>
      </c>
      <c r="B92">
        <v>5</v>
      </c>
      <c r="C92" t="s">
        <v>148</v>
      </c>
      <c r="D92" t="s">
        <v>105</v>
      </c>
      <c r="E92" s="4">
        <f>VLOOKUP($A92,releases,2,FALSE)</f>
        <v>2</v>
      </c>
      <c r="F92" s="4" t="str">
        <f>VLOOKUP($A92,releases,3,FALSE)</f>
        <v>UK</v>
      </c>
      <c r="G92" s="4" t="str">
        <f>VLOOKUP($A92,releases,8,FALSE)</f>
        <v>Mono</v>
      </c>
      <c r="H92" s="4" t="str">
        <f>VLOOKUP($A92,releases,4,FALSE)</f>
        <v>With the Beatles</v>
      </c>
    </row>
    <row r="93" spans="1:8" x14ac:dyDescent="0.25">
      <c r="A93" t="s">
        <v>19</v>
      </c>
      <c r="B93">
        <v>6</v>
      </c>
      <c r="C93" t="s">
        <v>149</v>
      </c>
      <c r="D93" t="s">
        <v>150</v>
      </c>
      <c r="E93" s="4">
        <f>VLOOKUP($A93,releases,2,FALSE)</f>
        <v>2</v>
      </c>
      <c r="F93" s="4" t="str">
        <f>VLOOKUP($A93,releases,3,FALSE)</f>
        <v>UK</v>
      </c>
      <c r="G93" s="4" t="str">
        <f>VLOOKUP($A93,releases,8,FALSE)</f>
        <v>Mono</v>
      </c>
      <c r="H93" s="4" t="str">
        <f>VLOOKUP($A93,releases,4,FALSE)</f>
        <v>With the Beatles</v>
      </c>
    </row>
    <row r="94" spans="1:8" x14ac:dyDescent="0.25">
      <c r="A94" t="s">
        <v>19</v>
      </c>
      <c r="B94">
        <v>7</v>
      </c>
      <c r="C94" t="s">
        <v>151</v>
      </c>
      <c r="D94" t="s">
        <v>152</v>
      </c>
      <c r="E94" s="4">
        <f>VLOOKUP($A94,releases,2,FALSE)</f>
        <v>2</v>
      </c>
      <c r="F94" s="4" t="str">
        <f>VLOOKUP($A94,releases,3,FALSE)</f>
        <v>UK</v>
      </c>
      <c r="G94" s="4" t="str">
        <f>VLOOKUP($A94,releases,8,FALSE)</f>
        <v>Mono</v>
      </c>
      <c r="H94" s="4" t="str">
        <f>VLOOKUP($A94,releases,4,FALSE)</f>
        <v>With the Beatles</v>
      </c>
    </row>
    <row r="95" spans="1:8" x14ac:dyDescent="0.25">
      <c r="A95" t="s">
        <v>19</v>
      </c>
      <c r="B95">
        <v>8</v>
      </c>
      <c r="C95" t="s">
        <v>153</v>
      </c>
      <c r="D95" t="s">
        <v>154</v>
      </c>
      <c r="E95" s="4">
        <f>VLOOKUP($A95,releases,2,FALSE)</f>
        <v>2</v>
      </c>
      <c r="F95" s="4" t="str">
        <f>VLOOKUP($A95,releases,3,FALSE)</f>
        <v>UK</v>
      </c>
      <c r="G95" s="4" t="str">
        <f>VLOOKUP($A95,releases,8,FALSE)</f>
        <v>Mono</v>
      </c>
      <c r="H95" s="4" t="str">
        <f>VLOOKUP($A95,releases,4,FALSE)</f>
        <v>With the Beatles</v>
      </c>
    </row>
    <row r="96" spans="1:8" x14ac:dyDescent="0.25">
      <c r="A96" t="s">
        <v>19</v>
      </c>
      <c r="B96">
        <v>9</v>
      </c>
      <c r="C96" t="s">
        <v>155</v>
      </c>
      <c r="D96" t="s">
        <v>105</v>
      </c>
      <c r="E96" s="4">
        <f>VLOOKUP($A96,releases,2,FALSE)</f>
        <v>2</v>
      </c>
      <c r="F96" s="4" t="str">
        <f>VLOOKUP($A96,releases,3,FALSE)</f>
        <v>UK</v>
      </c>
      <c r="G96" s="4" t="str">
        <f>VLOOKUP($A96,releases,8,FALSE)</f>
        <v>Mono</v>
      </c>
      <c r="H96" s="4" t="str">
        <f>VLOOKUP($A96,releases,4,FALSE)</f>
        <v>With the Beatles</v>
      </c>
    </row>
    <row r="97" spans="1:8" x14ac:dyDescent="0.25">
      <c r="A97" t="s">
        <v>19</v>
      </c>
      <c r="B97">
        <v>10</v>
      </c>
      <c r="C97" t="s">
        <v>156</v>
      </c>
      <c r="D97" t="s">
        <v>157</v>
      </c>
      <c r="E97" s="4">
        <f>VLOOKUP($A97,releases,2,FALSE)</f>
        <v>2</v>
      </c>
      <c r="F97" s="4" t="str">
        <f>VLOOKUP($A97,releases,3,FALSE)</f>
        <v>UK</v>
      </c>
      <c r="G97" s="4" t="str">
        <f>VLOOKUP($A97,releases,8,FALSE)</f>
        <v>Mono</v>
      </c>
      <c r="H97" s="4" t="str">
        <f>VLOOKUP($A97,releases,4,FALSE)</f>
        <v>With the Beatles</v>
      </c>
    </row>
    <row r="98" spans="1:8" x14ac:dyDescent="0.25">
      <c r="A98" t="s">
        <v>19</v>
      </c>
      <c r="B98">
        <v>11</v>
      </c>
      <c r="C98" t="s">
        <v>158</v>
      </c>
      <c r="D98" t="s">
        <v>105</v>
      </c>
      <c r="E98" s="4">
        <f>VLOOKUP($A98,releases,2,FALSE)</f>
        <v>2</v>
      </c>
      <c r="F98" s="4" t="str">
        <f>VLOOKUP($A98,releases,3,FALSE)</f>
        <v>UK</v>
      </c>
      <c r="G98" s="4" t="str">
        <f>VLOOKUP($A98,releases,8,FALSE)</f>
        <v>Mono</v>
      </c>
      <c r="H98" s="4" t="str">
        <f>VLOOKUP($A98,releases,4,FALSE)</f>
        <v>With the Beatles</v>
      </c>
    </row>
    <row r="99" spans="1:8" x14ac:dyDescent="0.25">
      <c r="A99" t="s">
        <v>19</v>
      </c>
      <c r="B99">
        <v>12</v>
      </c>
      <c r="C99" t="s">
        <v>159</v>
      </c>
      <c r="D99" t="s">
        <v>160</v>
      </c>
      <c r="E99" s="4">
        <f>VLOOKUP($A99,releases,2,FALSE)</f>
        <v>2</v>
      </c>
      <c r="F99" s="4" t="str">
        <f>VLOOKUP($A99,releases,3,FALSE)</f>
        <v>UK</v>
      </c>
      <c r="G99" s="4" t="str">
        <f>VLOOKUP($A99,releases,8,FALSE)</f>
        <v>Mono</v>
      </c>
      <c r="H99" s="4" t="str">
        <f>VLOOKUP($A99,releases,4,FALSE)</f>
        <v>With the Beatles</v>
      </c>
    </row>
    <row r="100" spans="1:8" x14ac:dyDescent="0.25">
      <c r="A100" t="s">
        <v>19</v>
      </c>
      <c r="B100">
        <v>13</v>
      </c>
      <c r="C100" t="s">
        <v>161</v>
      </c>
      <c r="D100" t="s">
        <v>105</v>
      </c>
      <c r="E100" s="4">
        <f>VLOOKUP($A100,releases,2,FALSE)</f>
        <v>2</v>
      </c>
      <c r="F100" s="4" t="str">
        <f>VLOOKUP($A100,releases,3,FALSE)</f>
        <v>UK</v>
      </c>
      <c r="G100" s="4" t="str">
        <f>VLOOKUP($A100,releases,8,FALSE)</f>
        <v>Mono</v>
      </c>
      <c r="H100" s="4" t="str">
        <f>VLOOKUP($A100,releases,4,FALSE)</f>
        <v>With the Beatles</v>
      </c>
    </row>
    <row r="101" spans="1:8" x14ac:dyDescent="0.25">
      <c r="A101" t="s">
        <v>19</v>
      </c>
      <c r="B101">
        <v>14</v>
      </c>
      <c r="C101" t="s">
        <v>162</v>
      </c>
      <c r="D101" t="s">
        <v>163</v>
      </c>
      <c r="E101" s="4">
        <f>VLOOKUP($A101,releases,2,FALSE)</f>
        <v>2</v>
      </c>
      <c r="F101" s="4" t="str">
        <f>VLOOKUP($A101,releases,3,FALSE)</f>
        <v>UK</v>
      </c>
      <c r="G101" s="4" t="str">
        <f>VLOOKUP($A101,releases,8,FALSE)</f>
        <v>Mono</v>
      </c>
      <c r="H101" s="4" t="str">
        <f>VLOOKUP($A101,releases,4,FALSE)</f>
        <v>With the Beatles</v>
      </c>
    </row>
    <row r="102" spans="1:8" x14ac:dyDescent="0.25">
      <c r="A102" t="s">
        <v>26</v>
      </c>
      <c r="B102">
        <v>1</v>
      </c>
      <c r="C102" t="s">
        <v>25</v>
      </c>
      <c r="D102" t="s">
        <v>105</v>
      </c>
      <c r="E102" s="4">
        <f>VLOOKUP($A102,releases,2,FALSE)</f>
        <v>3</v>
      </c>
      <c r="F102" s="4" t="str">
        <f>VLOOKUP($A102,releases,3,FALSE)</f>
        <v>UK</v>
      </c>
      <c r="G102" s="4" t="str">
        <f>VLOOKUP($A102,releases,8,FALSE)</f>
        <v>Stereo</v>
      </c>
      <c r="H102" s="4" t="str">
        <f>VLOOKUP($A102,releases,4,FALSE)</f>
        <v>A Hard Day's Night</v>
      </c>
    </row>
    <row r="103" spans="1:8" x14ac:dyDescent="0.25">
      <c r="A103" t="s">
        <v>26</v>
      </c>
      <c r="B103">
        <v>2</v>
      </c>
      <c r="C103" t="s">
        <v>166</v>
      </c>
      <c r="D103" t="s">
        <v>105</v>
      </c>
      <c r="E103" s="4">
        <f>VLOOKUP($A103,releases,2,FALSE)</f>
        <v>3</v>
      </c>
      <c r="F103" s="4" t="str">
        <f>VLOOKUP($A103,releases,3,FALSE)</f>
        <v>UK</v>
      </c>
      <c r="G103" s="4" t="str">
        <f>VLOOKUP($A103,releases,8,FALSE)</f>
        <v>Stereo</v>
      </c>
      <c r="H103" s="4" t="str">
        <f>VLOOKUP($A103,releases,4,FALSE)</f>
        <v>A Hard Day's Night</v>
      </c>
    </row>
    <row r="104" spans="1:8" x14ac:dyDescent="0.25">
      <c r="A104" t="s">
        <v>26</v>
      </c>
      <c r="B104">
        <v>3</v>
      </c>
      <c r="C104" t="s">
        <v>167</v>
      </c>
      <c r="D104" t="s">
        <v>105</v>
      </c>
      <c r="E104" s="4">
        <f>VLOOKUP($A104,releases,2,FALSE)</f>
        <v>3</v>
      </c>
      <c r="F104" s="4" t="str">
        <f>VLOOKUP($A104,releases,3,FALSE)</f>
        <v>UK</v>
      </c>
      <c r="G104" s="4" t="str">
        <f>VLOOKUP($A104,releases,8,FALSE)</f>
        <v>Stereo</v>
      </c>
      <c r="H104" s="4" t="str">
        <f>VLOOKUP($A104,releases,4,FALSE)</f>
        <v>A Hard Day's Night</v>
      </c>
    </row>
    <row r="105" spans="1:8" x14ac:dyDescent="0.25">
      <c r="A105" t="s">
        <v>26</v>
      </c>
      <c r="B105">
        <v>4</v>
      </c>
      <c r="C105" t="s">
        <v>168</v>
      </c>
      <c r="D105" t="s">
        <v>105</v>
      </c>
      <c r="E105" s="4">
        <f>VLOOKUP($A105,releases,2,FALSE)</f>
        <v>3</v>
      </c>
      <c r="F105" s="4" t="str">
        <f>VLOOKUP($A105,releases,3,FALSE)</f>
        <v>UK</v>
      </c>
      <c r="G105" s="4" t="str">
        <f>VLOOKUP($A105,releases,8,FALSE)</f>
        <v>Stereo</v>
      </c>
      <c r="H105" s="4" t="str">
        <f>VLOOKUP($A105,releases,4,FALSE)</f>
        <v>A Hard Day's Night</v>
      </c>
    </row>
    <row r="106" spans="1:8" x14ac:dyDescent="0.25">
      <c r="A106" t="s">
        <v>26</v>
      </c>
      <c r="B106">
        <v>5</v>
      </c>
      <c r="C106" t="s">
        <v>169</v>
      </c>
      <c r="D106" t="s">
        <v>105</v>
      </c>
      <c r="E106" s="4">
        <f>VLOOKUP($A106,releases,2,FALSE)</f>
        <v>3</v>
      </c>
      <c r="F106" s="4" t="str">
        <f>VLOOKUP($A106,releases,3,FALSE)</f>
        <v>UK</v>
      </c>
      <c r="G106" s="4" t="str">
        <f>VLOOKUP($A106,releases,8,FALSE)</f>
        <v>Stereo</v>
      </c>
      <c r="H106" s="4" t="str">
        <f>VLOOKUP($A106,releases,4,FALSE)</f>
        <v>A Hard Day's Night</v>
      </c>
    </row>
    <row r="107" spans="1:8" x14ac:dyDescent="0.25">
      <c r="A107" t="s">
        <v>26</v>
      </c>
      <c r="B107">
        <v>6</v>
      </c>
      <c r="C107" t="s">
        <v>170</v>
      </c>
      <c r="D107" t="s">
        <v>105</v>
      </c>
      <c r="E107" s="4">
        <f>VLOOKUP($A107,releases,2,FALSE)</f>
        <v>3</v>
      </c>
      <c r="F107" s="4" t="str">
        <f>VLOOKUP($A107,releases,3,FALSE)</f>
        <v>UK</v>
      </c>
      <c r="G107" s="4" t="str">
        <f>VLOOKUP($A107,releases,8,FALSE)</f>
        <v>Stereo</v>
      </c>
      <c r="H107" s="4" t="str">
        <f>VLOOKUP($A107,releases,4,FALSE)</f>
        <v>A Hard Day's Night</v>
      </c>
    </row>
    <row r="108" spans="1:8" x14ac:dyDescent="0.25">
      <c r="A108" t="s">
        <v>26</v>
      </c>
      <c r="B108">
        <v>7</v>
      </c>
      <c r="C108" t="s">
        <v>171</v>
      </c>
      <c r="D108" t="s">
        <v>105</v>
      </c>
      <c r="E108" s="4">
        <f>VLOOKUP($A108,releases,2,FALSE)</f>
        <v>3</v>
      </c>
      <c r="F108" s="4" t="str">
        <f>VLOOKUP($A108,releases,3,FALSE)</f>
        <v>UK</v>
      </c>
      <c r="G108" s="4" t="str">
        <f>VLOOKUP($A108,releases,8,FALSE)</f>
        <v>Stereo</v>
      </c>
      <c r="H108" s="4" t="str">
        <f>VLOOKUP($A108,releases,4,FALSE)</f>
        <v>A Hard Day's Night</v>
      </c>
    </row>
    <row r="109" spans="1:8" x14ac:dyDescent="0.25">
      <c r="A109" t="s">
        <v>26</v>
      </c>
      <c r="B109">
        <v>8</v>
      </c>
      <c r="C109" t="s">
        <v>172</v>
      </c>
      <c r="D109" t="s">
        <v>105</v>
      </c>
      <c r="E109" s="4">
        <f>VLOOKUP($A109,releases,2,FALSE)</f>
        <v>3</v>
      </c>
      <c r="F109" s="4" t="str">
        <f>VLOOKUP($A109,releases,3,FALSE)</f>
        <v>UK</v>
      </c>
      <c r="G109" s="4" t="str">
        <f>VLOOKUP($A109,releases,8,FALSE)</f>
        <v>Stereo</v>
      </c>
      <c r="H109" s="4" t="str">
        <f>VLOOKUP($A109,releases,4,FALSE)</f>
        <v>A Hard Day's Night</v>
      </c>
    </row>
    <row r="110" spans="1:8" x14ac:dyDescent="0.25">
      <c r="A110" t="s">
        <v>26</v>
      </c>
      <c r="B110">
        <v>9</v>
      </c>
      <c r="C110" t="s">
        <v>173</v>
      </c>
      <c r="D110" t="s">
        <v>105</v>
      </c>
      <c r="E110" s="4">
        <f>VLOOKUP($A110,releases,2,FALSE)</f>
        <v>3</v>
      </c>
      <c r="F110" s="4" t="str">
        <f>VLOOKUP($A110,releases,3,FALSE)</f>
        <v>UK</v>
      </c>
      <c r="G110" s="4" t="str">
        <f>VLOOKUP($A110,releases,8,FALSE)</f>
        <v>Stereo</v>
      </c>
      <c r="H110" s="4" t="str">
        <f>VLOOKUP($A110,releases,4,FALSE)</f>
        <v>A Hard Day's Night</v>
      </c>
    </row>
    <row r="111" spans="1:8" x14ac:dyDescent="0.25">
      <c r="A111" t="s">
        <v>26</v>
      </c>
      <c r="B111">
        <v>10</v>
      </c>
      <c r="C111" t="s">
        <v>174</v>
      </c>
      <c r="D111" t="s">
        <v>105</v>
      </c>
      <c r="E111" s="4">
        <f>VLOOKUP($A111,releases,2,FALSE)</f>
        <v>3</v>
      </c>
      <c r="F111" s="4" t="str">
        <f>VLOOKUP($A111,releases,3,FALSE)</f>
        <v>UK</v>
      </c>
      <c r="G111" s="4" t="str">
        <f>VLOOKUP($A111,releases,8,FALSE)</f>
        <v>Stereo</v>
      </c>
      <c r="H111" s="4" t="str">
        <f>VLOOKUP($A111,releases,4,FALSE)</f>
        <v>A Hard Day's Night</v>
      </c>
    </row>
    <row r="112" spans="1:8" x14ac:dyDescent="0.25">
      <c r="A112" t="s">
        <v>26</v>
      </c>
      <c r="B112">
        <v>11</v>
      </c>
      <c r="C112" t="s">
        <v>175</v>
      </c>
      <c r="D112" t="s">
        <v>105</v>
      </c>
      <c r="E112" s="4">
        <f>VLOOKUP($A112,releases,2,FALSE)</f>
        <v>3</v>
      </c>
      <c r="F112" s="4" t="str">
        <f>VLOOKUP($A112,releases,3,FALSE)</f>
        <v>UK</v>
      </c>
      <c r="G112" s="4" t="str">
        <f>VLOOKUP($A112,releases,8,FALSE)</f>
        <v>Stereo</v>
      </c>
      <c r="H112" s="4" t="str">
        <f>VLOOKUP($A112,releases,4,FALSE)</f>
        <v>A Hard Day's Night</v>
      </c>
    </row>
    <row r="113" spans="1:8" x14ac:dyDescent="0.25">
      <c r="A113" t="s">
        <v>26</v>
      </c>
      <c r="B113">
        <v>12</v>
      </c>
      <c r="C113" t="s">
        <v>176</v>
      </c>
      <c r="D113" t="s">
        <v>105</v>
      </c>
      <c r="E113" s="4">
        <f>VLOOKUP($A113,releases,2,FALSE)</f>
        <v>3</v>
      </c>
      <c r="F113" s="4" t="str">
        <f>VLOOKUP($A113,releases,3,FALSE)</f>
        <v>UK</v>
      </c>
      <c r="G113" s="4" t="str">
        <f>VLOOKUP($A113,releases,8,FALSE)</f>
        <v>Stereo</v>
      </c>
      <c r="H113" s="4" t="str">
        <f>VLOOKUP($A113,releases,4,FALSE)</f>
        <v>A Hard Day's Night</v>
      </c>
    </row>
    <row r="114" spans="1:8" x14ac:dyDescent="0.25">
      <c r="A114" t="s">
        <v>26</v>
      </c>
      <c r="B114">
        <v>13</v>
      </c>
      <c r="C114" t="s">
        <v>177</v>
      </c>
      <c r="D114" t="s">
        <v>105</v>
      </c>
      <c r="E114" s="4">
        <f>VLOOKUP($A114,releases,2,FALSE)</f>
        <v>3</v>
      </c>
      <c r="F114" s="4" t="str">
        <f>VLOOKUP($A114,releases,3,FALSE)</f>
        <v>UK</v>
      </c>
      <c r="G114" s="4" t="str">
        <f>VLOOKUP($A114,releases,8,FALSE)</f>
        <v>Stereo</v>
      </c>
      <c r="H114" s="4" t="str">
        <f>VLOOKUP($A114,releases,4,FALSE)</f>
        <v>A Hard Day's Night</v>
      </c>
    </row>
    <row r="115" spans="1:8" x14ac:dyDescent="0.25">
      <c r="A115" t="s">
        <v>24</v>
      </c>
      <c r="B115">
        <v>1</v>
      </c>
      <c r="C115" t="s">
        <v>25</v>
      </c>
      <c r="D115" t="s">
        <v>105</v>
      </c>
      <c r="E115" s="4">
        <f>VLOOKUP($A115,releases,2,FALSE)</f>
        <v>3</v>
      </c>
      <c r="F115" s="4" t="str">
        <f>VLOOKUP($A115,releases,3,FALSE)</f>
        <v>UK</v>
      </c>
      <c r="G115" s="4" t="str">
        <f>VLOOKUP($A115,releases,8,FALSE)</f>
        <v>Mono</v>
      </c>
      <c r="H115" s="4" t="str">
        <f>VLOOKUP($A115,releases,4,FALSE)</f>
        <v>A Hard Day's Night</v>
      </c>
    </row>
    <row r="116" spans="1:8" x14ac:dyDescent="0.25">
      <c r="A116" t="s">
        <v>24</v>
      </c>
      <c r="B116">
        <v>2</v>
      </c>
      <c r="C116" t="s">
        <v>166</v>
      </c>
      <c r="D116" t="s">
        <v>105</v>
      </c>
      <c r="E116" s="4">
        <f>VLOOKUP($A116,releases,2,FALSE)</f>
        <v>3</v>
      </c>
      <c r="F116" s="4" t="str">
        <f>VLOOKUP($A116,releases,3,FALSE)</f>
        <v>UK</v>
      </c>
      <c r="G116" s="4" t="str">
        <f>VLOOKUP($A116,releases,8,FALSE)</f>
        <v>Mono</v>
      </c>
      <c r="H116" s="4" t="str">
        <f>VLOOKUP($A116,releases,4,FALSE)</f>
        <v>A Hard Day's Night</v>
      </c>
    </row>
    <row r="117" spans="1:8" x14ac:dyDescent="0.25">
      <c r="A117" t="s">
        <v>24</v>
      </c>
      <c r="B117">
        <v>3</v>
      </c>
      <c r="C117" t="s">
        <v>167</v>
      </c>
      <c r="D117" t="s">
        <v>105</v>
      </c>
      <c r="E117" s="4">
        <f>VLOOKUP($A117,releases,2,FALSE)</f>
        <v>3</v>
      </c>
      <c r="F117" s="4" t="str">
        <f>VLOOKUP($A117,releases,3,FALSE)</f>
        <v>UK</v>
      </c>
      <c r="G117" s="4" t="str">
        <f>VLOOKUP($A117,releases,8,FALSE)</f>
        <v>Mono</v>
      </c>
      <c r="H117" s="4" t="str">
        <f>VLOOKUP($A117,releases,4,FALSE)</f>
        <v>A Hard Day's Night</v>
      </c>
    </row>
    <row r="118" spans="1:8" x14ac:dyDescent="0.25">
      <c r="A118" t="s">
        <v>24</v>
      </c>
      <c r="B118">
        <v>4</v>
      </c>
      <c r="C118" t="s">
        <v>168</v>
      </c>
      <c r="D118" t="s">
        <v>105</v>
      </c>
      <c r="E118" s="4">
        <f>VLOOKUP($A118,releases,2,FALSE)</f>
        <v>3</v>
      </c>
      <c r="F118" s="4" t="str">
        <f>VLOOKUP($A118,releases,3,FALSE)</f>
        <v>UK</v>
      </c>
      <c r="G118" s="4" t="str">
        <f>VLOOKUP($A118,releases,8,FALSE)</f>
        <v>Mono</v>
      </c>
      <c r="H118" s="4" t="str">
        <f>VLOOKUP($A118,releases,4,FALSE)</f>
        <v>A Hard Day's Night</v>
      </c>
    </row>
    <row r="119" spans="1:8" x14ac:dyDescent="0.25">
      <c r="A119" t="s">
        <v>24</v>
      </c>
      <c r="B119">
        <v>5</v>
      </c>
      <c r="C119" t="s">
        <v>169</v>
      </c>
      <c r="D119" t="s">
        <v>105</v>
      </c>
      <c r="E119" s="4">
        <f>VLOOKUP($A119,releases,2,FALSE)</f>
        <v>3</v>
      </c>
      <c r="F119" s="4" t="str">
        <f>VLOOKUP($A119,releases,3,FALSE)</f>
        <v>UK</v>
      </c>
      <c r="G119" s="4" t="str">
        <f>VLOOKUP($A119,releases,8,FALSE)</f>
        <v>Mono</v>
      </c>
      <c r="H119" s="4" t="str">
        <f>VLOOKUP($A119,releases,4,FALSE)</f>
        <v>A Hard Day's Night</v>
      </c>
    </row>
    <row r="120" spans="1:8" x14ac:dyDescent="0.25">
      <c r="A120" t="s">
        <v>24</v>
      </c>
      <c r="B120">
        <v>6</v>
      </c>
      <c r="C120" t="s">
        <v>170</v>
      </c>
      <c r="D120" t="s">
        <v>105</v>
      </c>
      <c r="E120" s="4">
        <f>VLOOKUP($A120,releases,2,FALSE)</f>
        <v>3</v>
      </c>
      <c r="F120" s="4" t="str">
        <f>VLOOKUP($A120,releases,3,FALSE)</f>
        <v>UK</v>
      </c>
      <c r="G120" s="4" t="str">
        <f>VLOOKUP($A120,releases,8,FALSE)</f>
        <v>Mono</v>
      </c>
      <c r="H120" s="4" t="str">
        <f>VLOOKUP($A120,releases,4,FALSE)</f>
        <v>A Hard Day's Night</v>
      </c>
    </row>
    <row r="121" spans="1:8" x14ac:dyDescent="0.25">
      <c r="A121" t="s">
        <v>24</v>
      </c>
      <c r="B121">
        <v>7</v>
      </c>
      <c r="C121" t="s">
        <v>171</v>
      </c>
      <c r="D121" t="s">
        <v>105</v>
      </c>
      <c r="E121" s="4">
        <f>VLOOKUP($A121,releases,2,FALSE)</f>
        <v>3</v>
      </c>
      <c r="F121" s="4" t="str">
        <f>VLOOKUP($A121,releases,3,FALSE)</f>
        <v>UK</v>
      </c>
      <c r="G121" s="4" t="str">
        <f>VLOOKUP($A121,releases,8,FALSE)</f>
        <v>Mono</v>
      </c>
      <c r="H121" s="4" t="str">
        <f>VLOOKUP($A121,releases,4,FALSE)</f>
        <v>A Hard Day's Night</v>
      </c>
    </row>
    <row r="122" spans="1:8" x14ac:dyDescent="0.25">
      <c r="A122" t="s">
        <v>24</v>
      </c>
      <c r="B122">
        <v>8</v>
      </c>
      <c r="C122" t="s">
        <v>172</v>
      </c>
      <c r="D122" t="s">
        <v>105</v>
      </c>
      <c r="E122" s="4">
        <f>VLOOKUP($A122,releases,2,FALSE)</f>
        <v>3</v>
      </c>
      <c r="F122" s="4" t="str">
        <f>VLOOKUP($A122,releases,3,FALSE)</f>
        <v>UK</v>
      </c>
      <c r="G122" s="4" t="str">
        <f>VLOOKUP($A122,releases,8,FALSE)</f>
        <v>Mono</v>
      </c>
      <c r="H122" s="4" t="str">
        <f>VLOOKUP($A122,releases,4,FALSE)</f>
        <v>A Hard Day's Night</v>
      </c>
    </row>
    <row r="123" spans="1:8" x14ac:dyDescent="0.25">
      <c r="A123" t="s">
        <v>24</v>
      </c>
      <c r="B123">
        <v>9</v>
      </c>
      <c r="C123" t="s">
        <v>173</v>
      </c>
      <c r="D123" t="s">
        <v>105</v>
      </c>
      <c r="E123" s="4">
        <f>VLOOKUP($A123,releases,2,FALSE)</f>
        <v>3</v>
      </c>
      <c r="F123" s="4" t="str">
        <f>VLOOKUP($A123,releases,3,FALSE)</f>
        <v>UK</v>
      </c>
      <c r="G123" s="4" t="str">
        <f>VLOOKUP($A123,releases,8,FALSE)</f>
        <v>Mono</v>
      </c>
      <c r="H123" s="4" t="str">
        <f>VLOOKUP($A123,releases,4,FALSE)</f>
        <v>A Hard Day's Night</v>
      </c>
    </row>
    <row r="124" spans="1:8" x14ac:dyDescent="0.25">
      <c r="A124" t="s">
        <v>24</v>
      </c>
      <c r="B124">
        <v>10</v>
      </c>
      <c r="C124" t="s">
        <v>174</v>
      </c>
      <c r="D124" t="s">
        <v>105</v>
      </c>
      <c r="E124" s="4">
        <f>VLOOKUP($A124,releases,2,FALSE)</f>
        <v>3</v>
      </c>
      <c r="F124" s="4" t="str">
        <f>VLOOKUP($A124,releases,3,FALSE)</f>
        <v>UK</v>
      </c>
      <c r="G124" s="4" t="str">
        <f>VLOOKUP($A124,releases,8,FALSE)</f>
        <v>Mono</v>
      </c>
      <c r="H124" s="4" t="str">
        <f>VLOOKUP($A124,releases,4,FALSE)</f>
        <v>A Hard Day's Night</v>
      </c>
    </row>
    <row r="125" spans="1:8" x14ac:dyDescent="0.25">
      <c r="A125" t="s">
        <v>24</v>
      </c>
      <c r="B125">
        <v>11</v>
      </c>
      <c r="C125" t="s">
        <v>175</v>
      </c>
      <c r="D125" t="s">
        <v>105</v>
      </c>
      <c r="E125" s="4">
        <f>VLOOKUP($A125,releases,2,FALSE)</f>
        <v>3</v>
      </c>
      <c r="F125" s="4" t="str">
        <f>VLOOKUP($A125,releases,3,FALSE)</f>
        <v>UK</v>
      </c>
      <c r="G125" s="4" t="str">
        <f>VLOOKUP($A125,releases,8,FALSE)</f>
        <v>Mono</v>
      </c>
      <c r="H125" s="4" t="str">
        <f>VLOOKUP($A125,releases,4,FALSE)</f>
        <v>A Hard Day's Night</v>
      </c>
    </row>
    <row r="126" spans="1:8" x14ac:dyDescent="0.25">
      <c r="A126" t="s">
        <v>24</v>
      </c>
      <c r="B126">
        <v>12</v>
      </c>
      <c r="C126" t="s">
        <v>176</v>
      </c>
      <c r="D126" t="s">
        <v>105</v>
      </c>
      <c r="E126" s="4">
        <f>VLOOKUP($A126,releases,2,FALSE)</f>
        <v>3</v>
      </c>
      <c r="F126" s="4" t="str">
        <f>VLOOKUP($A126,releases,3,FALSE)</f>
        <v>UK</v>
      </c>
      <c r="G126" s="4" t="str">
        <f>VLOOKUP($A126,releases,8,FALSE)</f>
        <v>Mono</v>
      </c>
      <c r="H126" s="4" t="str">
        <f>VLOOKUP($A126,releases,4,FALSE)</f>
        <v>A Hard Day's Night</v>
      </c>
    </row>
    <row r="127" spans="1:8" x14ac:dyDescent="0.25">
      <c r="A127" t="s">
        <v>24</v>
      </c>
      <c r="B127">
        <v>13</v>
      </c>
      <c r="C127" t="s">
        <v>177</v>
      </c>
      <c r="D127" t="s">
        <v>105</v>
      </c>
      <c r="E127" s="4">
        <f>VLOOKUP($A127,releases,2,FALSE)</f>
        <v>3</v>
      </c>
      <c r="F127" s="4" t="str">
        <f>VLOOKUP($A127,releases,3,FALSE)</f>
        <v>UK</v>
      </c>
      <c r="G127" s="4" t="str">
        <f>VLOOKUP($A127,releases,8,FALSE)</f>
        <v>Mono</v>
      </c>
      <c r="H127" s="4" t="str">
        <f>VLOOKUP($A127,releases,4,FALSE)</f>
        <v>A Hard Day's Night</v>
      </c>
    </row>
    <row r="128" spans="1:8" x14ac:dyDescent="0.25">
      <c r="A128" t="s">
        <v>27</v>
      </c>
      <c r="B128">
        <v>1</v>
      </c>
      <c r="C128" t="s">
        <v>25</v>
      </c>
      <c r="D128" t="s">
        <v>105</v>
      </c>
      <c r="E128" s="4">
        <f>VLOOKUP($A128,releases,2,FALSE)</f>
        <v>3</v>
      </c>
      <c r="F128" s="4" t="str">
        <f>VLOOKUP($A128,releases,3,FALSE)</f>
        <v>US</v>
      </c>
      <c r="G128" s="4" t="str">
        <f>VLOOKUP($A128,releases,8,FALSE)</f>
        <v>Mono</v>
      </c>
      <c r="H128" s="4" t="str">
        <f>VLOOKUP($A128,releases,4,FALSE)</f>
        <v>A Hard Day's Night</v>
      </c>
    </row>
    <row r="129" spans="1:8" x14ac:dyDescent="0.25">
      <c r="A129" t="s">
        <v>27</v>
      </c>
      <c r="B129">
        <v>2</v>
      </c>
      <c r="C129" t="s">
        <v>170</v>
      </c>
      <c r="D129" t="s">
        <v>105</v>
      </c>
      <c r="E129" s="4">
        <f>VLOOKUP($A129,releases,2,FALSE)</f>
        <v>3</v>
      </c>
      <c r="F129" s="4" t="str">
        <f>VLOOKUP($A129,releases,3,FALSE)</f>
        <v>US</v>
      </c>
      <c r="G129" s="4" t="str">
        <f>VLOOKUP($A129,releases,8,FALSE)</f>
        <v>Mono</v>
      </c>
      <c r="H129" s="4" t="str">
        <f>VLOOKUP($A129,releases,4,FALSE)</f>
        <v>A Hard Day's Night</v>
      </c>
    </row>
    <row r="130" spans="1:8" x14ac:dyDescent="0.25">
      <c r="A130" t="s">
        <v>27</v>
      </c>
      <c r="B130">
        <v>3</v>
      </c>
      <c r="C130" t="s">
        <v>178</v>
      </c>
      <c r="D130" t="s">
        <v>105</v>
      </c>
      <c r="E130" s="4">
        <f>VLOOKUP($A130,releases,2,FALSE)</f>
        <v>3</v>
      </c>
      <c r="F130" s="4" t="str">
        <f>VLOOKUP($A130,releases,3,FALSE)</f>
        <v>US</v>
      </c>
      <c r="G130" s="4" t="str">
        <f>VLOOKUP($A130,releases,8,FALSE)</f>
        <v>Mono</v>
      </c>
      <c r="H130" s="4" t="str">
        <f>VLOOKUP($A130,releases,4,FALSE)</f>
        <v>A Hard Day's Night</v>
      </c>
    </row>
    <row r="131" spans="1:8" x14ac:dyDescent="0.25">
      <c r="A131" t="s">
        <v>27</v>
      </c>
      <c r="B131">
        <v>4</v>
      </c>
      <c r="C131" t="s">
        <v>179</v>
      </c>
      <c r="D131" t="s">
        <v>84</v>
      </c>
      <c r="E131" s="4">
        <f>VLOOKUP($A131,releases,2,FALSE)</f>
        <v>3</v>
      </c>
      <c r="F131" s="4" t="str">
        <f>VLOOKUP($A131,releases,3,FALSE)</f>
        <v>US</v>
      </c>
      <c r="G131" s="4" t="str">
        <f>VLOOKUP($A131,releases,8,FALSE)</f>
        <v>Mono</v>
      </c>
      <c r="H131" s="4" t="str">
        <f>VLOOKUP($A131,releases,4,FALSE)</f>
        <v>A Hard Day's Night</v>
      </c>
    </row>
    <row r="132" spans="1:8" x14ac:dyDescent="0.25">
      <c r="A132" t="s">
        <v>27</v>
      </c>
      <c r="B132">
        <v>5</v>
      </c>
      <c r="C132" t="s">
        <v>168</v>
      </c>
      <c r="D132" t="s">
        <v>105</v>
      </c>
      <c r="E132" s="4">
        <f>VLOOKUP($A132,releases,2,FALSE)</f>
        <v>3</v>
      </c>
      <c r="F132" s="4" t="str">
        <f>VLOOKUP($A132,releases,3,FALSE)</f>
        <v>US</v>
      </c>
      <c r="G132" s="4" t="str">
        <f>VLOOKUP($A132,releases,8,FALSE)</f>
        <v>Mono</v>
      </c>
      <c r="H132" s="4" t="str">
        <f>VLOOKUP($A132,releases,4,FALSE)</f>
        <v>A Hard Day's Night</v>
      </c>
    </row>
    <row r="133" spans="1:8" x14ac:dyDescent="0.25">
      <c r="A133" t="s">
        <v>27</v>
      </c>
      <c r="B133">
        <v>6</v>
      </c>
      <c r="C133" t="s">
        <v>180</v>
      </c>
      <c r="D133" t="s">
        <v>84</v>
      </c>
      <c r="E133" s="4">
        <f>VLOOKUP($A133,releases,2,FALSE)</f>
        <v>3</v>
      </c>
      <c r="F133" s="4" t="str">
        <f>VLOOKUP($A133,releases,3,FALSE)</f>
        <v>US</v>
      </c>
      <c r="G133" s="4" t="str">
        <f>VLOOKUP($A133,releases,8,FALSE)</f>
        <v>Mono</v>
      </c>
      <c r="H133" s="4" t="str">
        <f>VLOOKUP($A133,releases,4,FALSE)</f>
        <v>A Hard Day's Night</v>
      </c>
    </row>
    <row r="134" spans="1:8" x14ac:dyDescent="0.25">
      <c r="A134" t="s">
        <v>27</v>
      </c>
      <c r="B134">
        <v>7</v>
      </c>
      <c r="C134" t="s">
        <v>166</v>
      </c>
      <c r="D134" t="s">
        <v>105</v>
      </c>
      <c r="E134" s="4">
        <f>VLOOKUP($A134,releases,2,FALSE)</f>
        <v>3</v>
      </c>
      <c r="F134" s="4" t="str">
        <f>VLOOKUP($A134,releases,3,FALSE)</f>
        <v>US</v>
      </c>
      <c r="G134" s="4" t="str">
        <f>VLOOKUP($A134,releases,8,FALSE)</f>
        <v>Mono</v>
      </c>
      <c r="H134" s="4" t="str">
        <f>VLOOKUP($A134,releases,4,FALSE)</f>
        <v>A Hard Day's Night</v>
      </c>
    </row>
    <row r="135" spans="1:8" x14ac:dyDescent="0.25">
      <c r="A135" t="s">
        <v>27</v>
      </c>
      <c r="B135">
        <v>8</v>
      </c>
      <c r="C135" t="s">
        <v>167</v>
      </c>
      <c r="D135" t="s">
        <v>105</v>
      </c>
      <c r="E135" s="4">
        <f>VLOOKUP($A135,releases,2,FALSE)</f>
        <v>3</v>
      </c>
      <c r="F135" s="4" t="str">
        <f>VLOOKUP($A135,releases,3,FALSE)</f>
        <v>US</v>
      </c>
      <c r="G135" s="4" t="str">
        <f>VLOOKUP($A135,releases,8,FALSE)</f>
        <v>Mono</v>
      </c>
      <c r="H135" s="4" t="str">
        <f>VLOOKUP($A135,releases,4,FALSE)</f>
        <v>A Hard Day's Night</v>
      </c>
    </row>
    <row r="136" spans="1:8" x14ac:dyDescent="0.25">
      <c r="A136" t="s">
        <v>27</v>
      </c>
      <c r="B136">
        <v>9</v>
      </c>
      <c r="C136" t="s">
        <v>169</v>
      </c>
      <c r="D136" t="s">
        <v>105</v>
      </c>
      <c r="E136" s="4">
        <f>VLOOKUP($A136,releases,2,FALSE)</f>
        <v>3</v>
      </c>
      <c r="F136" s="4" t="str">
        <f>VLOOKUP($A136,releases,3,FALSE)</f>
        <v>US</v>
      </c>
      <c r="G136" s="4" t="str">
        <f>VLOOKUP($A136,releases,8,FALSE)</f>
        <v>Mono</v>
      </c>
      <c r="H136" s="4" t="str">
        <f>VLOOKUP($A136,releases,4,FALSE)</f>
        <v>A Hard Day's Night</v>
      </c>
    </row>
    <row r="137" spans="1:8" x14ac:dyDescent="0.25">
      <c r="A137" t="s">
        <v>27</v>
      </c>
      <c r="B137">
        <v>10</v>
      </c>
      <c r="C137" t="s">
        <v>181</v>
      </c>
      <c r="D137" t="s">
        <v>84</v>
      </c>
      <c r="E137" s="4">
        <f>VLOOKUP($A137,releases,2,FALSE)</f>
        <v>3</v>
      </c>
      <c r="F137" s="4" t="str">
        <f>VLOOKUP($A137,releases,3,FALSE)</f>
        <v>US</v>
      </c>
      <c r="G137" s="4" t="str">
        <f>VLOOKUP($A137,releases,8,FALSE)</f>
        <v>Mono</v>
      </c>
      <c r="H137" s="4" t="str">
        <f>VLOOKUP($A137,releases,4,FALSE)</f>
        <v>A Hard Day's Night</v>
      </c>
    </row>
    <row r="138" spans="1:8" x14ac:dyDescent="0.25">
      <c r="A138" t="s">
        <v>27</v>
      </c>
      <c r="B138">
        <v>11</v>
      </c>
      <c r="C138" t="s">
        <v>171</v>
      </c>
      <c r="D138" t="s">
        <v>105</v>
      </c>
      <c r="E138" s="4">
        <f>VLOOKUP($A138,releases,2,FALSE)</f>
        <v>3</v>
      </c>
      <c r="F138" s="4" t="str">
        <f>VLOOKUP($A138,releases,3,FALSE)</f>
        <v>US</v>
      </c>
      <c r="G138" s="4" t="str">
        <f>VLOOKUP($A138,releases,8,FALSE)</f>
        <v>Mono</v>
      </c>
      <c r="H138" s="4" t="str">
        <f>VLOOKUP($A138,releases,4,FALSE)</f>
        <v>A Hard Day's Night</v>
      </c>
    </row>
    <row r="139" spans="1:8" x14ac:dyDescent="0.25">
      <c r="A139" t="s">
        <v>27</v>
      </c>
      <c r="B139">
        <v>12</v>
      </c>
      <c r="C139" t="s">
        <v>182</v>
      </c>
      <c r="D139" t="s">
        <v>84</v>
      </c>
      <c r="E139" s="4">
        <f>VLOOKUP($A139,releases,2,FALSE)</f>
        <v>3</v>
      </c>
      <c r="F139" s="4" t="str">
        <f>VLOOKUP($A139,releases,3,FALSE)</f>
        <v>US</v>
      </c>
      <c r="G139" s="4" t="str">
        <f>VLOOKUP($A139,releases,8,FALSE)</f>
        <v>Mono</v>
      </c>
      <c r="H139" s="4" t="str">
        <f>VLOOKUP($A139,releases,4,FALSE)</f>
        <v>A Hard Day's Night</v>
      </c>
    </row>
    <row r="140" spans="1:8" x14ac:dyDescent="0.25">
      <c r="A140" t="s">
        <v>29</v>
      </c>
      <c r="B140">
        <v>1</v>
      </c>
      <c r="C140" t="s">
        <v>25</v>
      </c>
      <c r="D140" t="s">
        <v>105</v>
      </c>
      <c r="E140" s="4">
        <f>VLOOKUP($A140,releases,2,FALSE)</f>
        <v>3</v>
      </c>
      <c r="F140" s="4" t="str">
        <f>VLOOKUP($A140,releases,3,FALSE)</f>
        <v>US</v>
      </c>
      <c r="G140" s="4" t="str">
        <f>VLOOKUP($A140,releases,8,FALSE)</f>
        <v>Stereo</v>
      </c>
      <c r="H140" s="4" t="str">
        <f>VLOOKUP($A140,releases,4,FALSE)</f>
        <v>A Hard Day's Night</v>
      </c>
    </row>
    <row r="141" spans="1:8" x14ac:dyDescent="0.25">
      <c r="A141" t="s">
        <v>29</v>
      </c>
      <c r="B141">
        <v>2</v>
      </c>
      <c r="C141" t="s">
        <v>170</v>
      </c>
      <c r="D141" t="s">
        <v>105</v>
      </c>
      <c r="E141" s="4">
        <f>VLOOKUP($A141,releases,2,FALSE)</f>
        <v>3</v>
      </c>
      <c r="F141" s="4" t="str">
        <f>VLOOKUP($A141,releases,3,FALSE)</f>
        <v>US</v>
      </c>
      <c r="G141" s="4" t="str">
        <f>VLOOKUP($A141,releases,8,FALSE)</f>
        <v>Stereo</v>
      </c>
      <c r="H141" s="4" t="str">
        <f>VLOOKUP($A141,releases,4,FALSE)</f>
        <v>A Hard Day's Night</v>
      </c>
    </row>
    <row r="142" spans="1:8" x14ac:dyDescent="0.25">
      <c r="A142" t="s">
        <v>29</v>
      </c>
      <c r="B142">
        <v>3</v>
      </c>
      <c r="C142" t="s">
        <v>178</v>
      </c>
      <c r="D142" t="s">
        <v>105</v>
      </c>
      <c r="E142" s="4">
        <f>VLOOKUP($A142,releases,2,FALSE)</f>
        <v>3</v>
      </c>
      <c r="F142" s="4" t="str">
        <f>VLOOKUP($A142,releases,3,FALSE)</f>
        <v>US</v>
      </c>
      <c r="G142" s="4" t="str">
        <f>VLOOKUP($A142,releases,8,FALSE)</f>
        <v>Stereo</v>
      </c>
      <c r="H142" s="4" t="str">
        <f>VLOOKUP($A142,releases,4,FALSE)</f>
        <v>A Hard Day's Night</v>
      </c>
    </row>
    <row r="143" spans="1:8" x14ac:dyDescent="0.25">
      <c r="A143" t="s">
        <v>29</v>
      </c>
      <c r="B143">
        <v>4</v>
      </c>
      <c r="C143" t="s">
        <v>179</v>
      </c>
      <c r="D143" t="s">
        <v>84</v>
      </c>
      <c r="E143" s="4">
        <f>VLOOKUP($A143,releases,2,FALSE)</f>
        <v>3</v>
      </c>
      <c r="F143" s="4" t="str">
        <f>VLOOKUP($A143,releases,3,FALSE)</f>
        <v>US</v>
      </c>
      <c r="G143" s="4" t="str">
        <f>VLOOKUP($A143,releases,8,FALSE)</f>
        <v>Stereo</v>
      </c>
      <c r="H143" s="4" t="str">
        <f>VLOOKUP($A143,releases,4,FALSE)</f>
        <v>A Hard Day's Night</v>
      </c>
    </row>
    <row r="144" spans="1:8" x14ac:dyDescent="0.25">
      <c r="A144" t="s">
        <v>29</v>
      </c>
      <c r="B144">
        <v>5</v>
      </c>
      <c r="C144" t="s">
        <v>168</v>
      </c>
      <c r="D144" t="s">
        <v>105</v>
      </c>
      <c r="E144" s="4">
        <f>VLOOKUP($A144,releases,2,FALSE)</f>
        <v>3</v>
      </c>
      <c r="F144" s="4" t="str">
        <f>VLOOKUP($A144,releases,3,FALSE)</f>
        <v>US</v>
      </c>
      <c r="G144" s="4" t="str">
        <f>VLOOKUP($A144,releases,8,FALSE)</f>
        <v>Stereo</v>
      </c>
      <c r="H144" s="4" t="str">
        <f>VLOOKUP($A144,releases,4,FALSE)</f>
        <v>A Hard Day's Night</v>
      </c>
    </row>
    <row r="145" spans="1:8" x14ac:dyDescent="0.25">
      <c r="A145" t="s">
        <v>29</v>
      </c>
      <c r="B145">
        <v>6</v>
      </c>
      <c r="C145" t="s">
        <v>180</v>
      </c>
      <c r="D145" t="s">
        <v>84</v>
      </c>
      <c r="E145" s="4">
        <f>VLOOKUP($A145,releases,2,FALSE)</f>
        <v>3</v>
      </c>
      <c r="F145" s="4" t="str">
        <f>VLOOKUP($A145,releases,3,FALSE)</f>
        <v>US</v>
      </c>
      <c r="G145" s="4" t="str">
        <f>VLOOKUP($A145,releases,8,FALSE)</f>
        <v>Stereo</v>
      </c>
      <c r="H145" s="4" t="str">
        <f>VLOOKUP($A145,releases,4,FALSE)</f>
        <v>A Hard Day's Night</v>
      </c>
    </row>
    <row r="146" spans="1:8" x14ac:dyDescent="0.25">
      <c r="A146" t="s">
        <v>29</v>
      </c>
      <c r="B146">
        <v>7</v>
      </c>
      <c r="C146" t="s">
        <v>166</v>
      </c>
      <c r="D146" t="s">
        <v>105</v>
      </c>
      <c r="E146" s="4">
        <f>VLOOKUP($A146,releases,2,FALSE)</f>
        <v>3</v>
      </c>
      <c r="F146" s="4" t="str">
        <f>VLOOKUP($A146,releases,3,FALSE)</f>
        <v>US</v>
      </c>
      <c r="G146" s="4" t="str">
        <f>VLOOKUP($A146,releases,8,FALSE)</f>
        <v>Stereo</v>
      </c>
      <c r="H146" s="4" t="str">
        <f>VLOOKUP($A146,releases,4,FALSE)</f>
        <v>A Hard Day's Night</v>
      </c>
    </row>
    <row r="147" spans="1:8" x14ac:dyDescent="0.25">
      <c r="A147" t="s">
        <v>29</v>
      </c>
      <c r="B147">
        <v>8</v>
      </c>
      <c r="C147" t="s">
        <v>167</v>
      </c>
      <c r="D147" t="s">
        <v>105</v>
      </c>
      <c r="E147" s="4">
        <f>VLOOKUP($A147,releases,2,FALSE)</f>
        <v>3</v>
      </c>
      <c r="F147" s="4" t="str">
        <f>VLOOKUP($A147,releases,3,FALSE)</f>
        <v>US</v>
      </c>
      <c r="G147" s="4" t="str">
        <f>VLOOKUP($A147,releases,8,FALSE)</f>
        <v>Stereo</v>
      </c>
      <c r="H147" s="4" t="str">
        <f>VLOOKUP($A147,releases,4,FALSE)</f>
        <v>A Hard Day's Night</v>
      </c>
    </row>
    <row r="148" spans="1:8" x14ac:dyDescent="0.25">
      <c r="A148" t="s">
        <v>29</v>
      </c>
      <c r="B148">
        <v>9</v>
      </c>
      <c r="C148" t="s">
        <v>169</v>
      </c>
      <c r="D148" t="s">
        <v>105</v>
      </c>
      <c r="E148" s="4">
        <f>VLOOKUP($A148,releases,2,FALSE)</f>
        <v>3</v>
      </c>
      <c r="F148" s="4" t="str">
        <f>VLOOKUP($A148,releases,3,FALSE)</f>
        <v>US</v>
      </c>
      <c r="G148" s="4" t="str">
        <f>VLOOKUP($A148,releases,8,FALSE)</f>
        <v>Stereo</v>
      </c>
      <c r="H148" s="4" t="str">
        <f>VLOOKUP($A148,releases,4,FALSE)</f>
        <v>A Hard Day's Night</v>
      </c>
    </row>
    <row r="149" spans="1:8" x14ac:dyDescent="0.25">
      <c r="A149" t="s">
        <v>29</v>
      </c>
      <c r="B149">
        <v>10</v>
      </c>
      <c r="C149" t="s">
        <v>181</v>
      </c>
      <c r="D149" t="s">
        <v>84</v>
      </c>
      <c r="E149" s="4">
        <f>VLOOKUP($A149,releases,2,FALSE)</f>
        <v>3</v>
      </c>
      <c r="F149" s="4" t="str">
        <f>VLOOKUP($A149,releases,3,FALSE)</f>
        <v>US</v>
      </c>
      <c r="G149" s="4" t="str">
        <f>VLOOKUP($A149,releases,8,FALSE)</f>
        <v>Stereo</v>
      </c>
      <c r="H149" s="4" t="str">
        <f>VLOOKUP($A149,releases,4,FALSE)</f>
        <v>A Hard Day's Night</v>
      </c>
    </row>
    <row r="150" spans="1:8" x14ac:dyDescent="0.25">
      <c r="A150" t="s">
        <v>29</v>
      </c>
      <c r="B150">
        <v>11</v>
      </c>
      <c r="C150" t="s">
        <v>171</v>
      </c>
      <c r="D150" t="s">
        <v>105</v>
      </c>
      <c r="E150" s="4">
        <f>VLOOKUP($A150,releases,2,FALSE)</f>
        <v>3</v>
      </c>
      <c r="F150" s="4" t="str">
        <f>VLOOKUP($A150,releases,3,FALSE)</f>
        <v>US</v>
      </c>
      <c r="G150" s="4" t="str">
        <f>VLOOKUP($A150,releases,8,FALSE)</f>
        <v>Stereo</v>
      </c>
      <c r="H150" s="4" t="str">
        <f>VLOOKUP($A150,releases,4,FALSE)</f>
        <v>A Hard Day's Night</v>
      </c>
    </row>
    <row r="151" spans="1:8" x14ac:dyDescent="0.25">
      <c r="A151" t="s">
        <v>29</v>
      </c>
      <c r="B151">
        <v>12</v>
      </c>
      <c r="C151" t="s">
        <v>182</v>
      </c>
      <c r="D151" t="s">
        <v>84</v>
      </c>
      <c r="E151" s="4">
        <f>VLOOKUP($A151,releases,2,FALSE)</f>
        <v>3</v>
      </c>
      <c r="F151" s="4" t="str">
        <f>VLOOKUP($A151,releases,3,FALSE)</f>
        <v>US</v>
      </c>
      <c r="G151" s="4" t="str">
        <f>VLOOKUP($A151,releases,8,FALSE)</f>
        <v>Stereo</v>
      </c>
      <c r="H151" s="4" t="str">
        <f>VLOOKUP($A151,releases,4,FALSE)</f>
        <v>A Hard Day's Night</v>
      </c>
    </row>
    <row r="152" spans="1:8" x14ac:dyDescent="0.25">
      <c r="A152" t="s">
        <v>35</v>
      </c>
      <c r="B152">
        <v>1</v>
      </c>
      <c r="C152" t="s">
        <v>183</v>
      </c>
      <c r="D152" t="s">
        <v>105</v>
      </c>
      <c r="E152" s="4">
        <f>VLOOKUP($A152,releases,2,FALSE)</f>
        <v>4</v>
      </c>
      <c r="F152" s="4" t="str">
        <f>VLOOKUP($A152,releases,3,FALSE)</f>
        <v>US</v>
      </c>
      <c r="G152" s="4" t="str">
        <f>VLOOKUP($A152,releases,8,FALSE)</f>
        <v>Stereo</v>
      </c>
      <c r="H152" s="4" t="str">
        <f>VLOOKUP($A152,releases,4,FALSE)</f>
        <v>Beatles '65</v>
      </c>
    </row>
    <row r="153" spans="1:8" x14ac:dyDescent="0.25">
      <c r="A153" t="s">
        <v>35</v>
      </c>
      <c r="B153">
        <v>2</v>
      </c>
      <c r="C153" t="s">
        <v>184</v>
      </c>
      <c r="D153" t="s">
        <v>105</v>
      </c>
      <c r="E153" s="4">
        <f>VLOOKUP($A153,releases,2,FALSE)</f>
        <v>4</v>
      </c>
      <c r="F153" s="4" t="str">
        <f>VLOOKUP($A153,releases,3,FALSE)</f>
        <v>US</v>
      </c>
      <c r="G153" s="4" t="str">
        <f>VLOOKUP($A153,releases,8,FALSE)</f>
        <v>Stereo</v>
      </c>
      <c r="H153" s="4" t="str">
        <f>VLOOKUP($A153,releases,4,FALSE)</f>
        <v>Beatles '65</v>
      </c>
    </row>
    <row r="154" spans="1:8" x14ac:dyDescent="0.25">
      <c r="A154" t="s">
        <v>35</v>
      </c>
      <c r="B154">
        <v>3</v>
      </c>
      <c r="C154" t="s">
        <v>185</v>
      </c>
      <c r="D154" t="s">
        <v>105</v>
      </c>
      <c r="E154" s="4">
        <f>VLOOKUP($A154,releases,2,FALSE)</f>
        <v>4</v>
      </c>
      <c r="F154" s="4" t="str">
        <f>VLOOKUP($A154,releases,3,FALSE)</f>
        <v>US</v>
      </c>
      <c r="G154" s="4" t="str">
        <f>VLOOKUP($A154,releases,8,FALSE)</f>
        <v>Stereo</v>
      </c>
      <c r="H154" s="4" t="str">
        <f>VLOOKUP($A154,releases,4,FALSE)</f>
        <v>Beatles '65</v>
      </c>
    </row>
    <row r="155" spans="1:8" x14ac:dyDescent="0.25">
      <c r="A155" t="s">
        <v>35</v>
      </c>
      <c r="B155">
        <v>4</v>
      </c>
      <c r="C155" t="s">
        <v>186</v>
      </c>
      <c r="D155" t="s">
        <v>154</v>
      </c>
      <c r="E155" s="4">
        <f>VLOOKUP($A155,releases,2,FALSE)</f>
        <v>4</v>
      </c>
      <c r="F155" s="4" t="str">
        <f>VLOOKUP($A155,releases,3,FALSE)</f>
        <v>US</v>
      </c>
      <c r="G155" s="4" t="str">
        <f>VLOOKUP($A155,releases,8,FALSE)</f>
        <v>Stereo</v>
      </c>
      <c r="H155" s="4" t="str">
        <f>VLOOKUP($A155,releases,4,FALSE)</f>
        <v>Beatles '65</v>
      </c>
    </row>
    <row r="156" spans="1:8" x14ac:dyDescent="0.25">
      <c r="A156" t="s">
        <v>35</v>
      </c>
      <c r="B156">
        <v>5</v>
      </c>
      <c r="C156" t="s">
        <v>187</v>
      </c>
      <c r="D156" t="s">
        <v>105</v>
      </c>
      <c r="E156" s="4">
        <f>VLOOKUP($A156,releases,2,FALSE)</f>
        <v>4</v>
      </c>
      <c r="F156" s="4" t="str">
        <f>VLOOKUP($A156,releases,3,FALSE)</f>
        <v>US</v>
      </c>
      <c r="G156" s="4" t="str">
        <f>VLOOKUP($A156,releases,8,FALSE)</f>
        <v>Stereo</v>
      </c>
      <c r="H156" s="4" t="str">
        <f>VLOOKUP($A156,releases,4,FALSE)</f>
        <v>Beatles '65</v>
      </c>
    </row>
    <row r="157" spans="1:8" x14ac:dyDescent="0.25">
      <c r="A157" t="s">
        <v>35</v>
      </c>
      <c r="B157">
        <v>6</v>
      </c>
      <c r="C157" t="s">
        <v>188</v>
      </c>
      <c r="D157" t="s">
        <v>189</v>
      </c>
      <c r="E157" s="4">
        <f>VLOOKUP($A157,releases,2,FALSE)</f>
        <v>4</v>
      </c>
      <c r="F157" s="4" t="str">
        <f>VLOOKUP($A157,releases,3,FALSE)</f>
        <v>US</v>
      </c>
      <c r="G157" s="4" t="str">
        <f>VLOOKUP($A157,releases,8,FALSE)</f>
        <v>Stereo</v>
      </c>
      <c r="H157" s="4" t="str">
        <f>VLOOKUP($A157,releases,4,FALSE)</f>
        <v>Beatles '65</v>
      </c>
    </row>
    <row r="158" spans="1:8" x14ac:dyDescent="0.25">
      <c r="A158" t="s">
        <v>35</v>
      </c>
      <c r="B158">
        <v>7</v>
      </c>
      <c r="C158" t="s">
        <v>195</v>
      </c>
      <c r="D158" t="s">
        <v>196</v>
      </c>
      <c r="E158" s="4">
        <f>VLOOKUP($A158,releases,2,FALSE)</f>
        <v>4</v>
      </c>
      <c r="F158" s="4" t="str">
        <f>VLOOKUP($A158,releases,3,FALSE)</f>
        <v>US</v>
      </c>
      <c r="G158" s="4" t="str">
        <f>VLOOKUP($A158,releases,8,FALSE)</f>
        <v>Stereo</v>
      </c>
      <c r="H158" s="4" t="str">
        <f>VLOOKUP($A158,releases,4,FALSE)</f>
        <v>Beatles '65</v>
      </c>
    </row>
    <row r="159" spans="1:8" x14ac:dyDescent="0.25">
      <c r="A159" t="s">
        <v>35</v>
      </c>
      <c r="B159">
        <v>8</v>
      </c>
      <c r="C159" t="s">
        <v>177</v>
      </c>
      <c r="D159" t="s">
        <v>105</v>
      </c>
      <c r="E159" s="4">
        <f>VLOOKUP($A159,releases,2,FALSE)</f>
        <v>4</v>
      </c>
      <c r="F159" s="4" t="str">
        <f>VLOOKUP($A159,releases,3,FALSE)</f>
        <v>US</v>
      </c>
      <c r="G159" s="4" t="str">
        <f>VLOOKUP($A159,releases,8,FALSE)</f>
        <v>Stereo</v>
      </c>
      <c r="H159" s="4" t="str">
        <f>VLOOKUP($A159,releases,4,FALSE)</f>
        <v>Beatles '65</v>
      </c>
    </row>
    <row r="160" spans="1:8" x14ac:dyDescent="0.25">
      <c r="A160" t="s">
        <v>35</v>
      </c>
      <c r="B160">
        <v>9</v>
      </c>
      <c r="C160" t="s">
        <v>201</v>
      </c>
      <c r="D160" t="s">
        <v>105</v>
      </c>
      <c r="E160" s="4">
        <f>VLOOKUP($A160,releases,2,FALSE)</f>
        <v>4</v>
      </c>
      <c r="F160" s="4" t="str">
        <f>VLOOKUP($A160,releases,3,FALSE)</f>
        <v>US</v>
      </c>
      <c r="G160" s="4" t="str">
        <f>VLOOKUP($A160,releases,8,FALSE)</f>
        <v>Stereo</v>
      </c>
      <c r="H160" s="4" t="str">
        <f>VLOOKUP($A160,releases,4,FALSE)</f>
        <v>Beatles '65</v>
      </c>
    </row>
    <row r="161" spans="1:8" x14ac:dyDescent="0.25">
      <c r="A161" t="s">
        <v>35</v>
      </c>
      <c r="B161">
        <v>10</v>
      </c>
      <c r="C161" t="s">
        <v>202</v>
      </c>
      <c r="D161" t="s">
        <v>105</v>
      </c>
      <c r="E161" s="4">
        <f>VLOOKUP($A161,releases,2,FALSE)</f>
        <v>4</v>
      </c>
      <c r="F161" s="4" t="str">
        <f>VLOOKUP($A161,releases,3,FALSE)</f>
        <v>US</v>
      </c>
      <c r="G161" s="4" t="str">
        <f>VLOOKUP($A161,releases,8,FALSE)</f>
        <v>Stereo</v>
      </c>
      <c r="H161" s="4" t="str">
        <f>VLOOKUP($A161,releases,4,FALSE)</f>
        <v>Beatles '65</v>
      </c>
    </row>
    <row r="162" spans="1:8" x14ac:dyDescent="0.25">
      <c r="A162" t="s">
        <v>35</v>
      </c>
      <c r="B162">
        <v>11</v>
      </c>
      <c r="C162" t="s">
        <v>200</v>
      </c>
      <c r="D162" t="s">
        <v>196</v>
      </c>
      <c r="E162" s="4">
        <f>VLOOKUP($A162,releases,2,FALSE)</f>
        <v>4</v>
      </c>
      <c r="F162" s="4" t="str">
        <f>VLOOKUP($A162,releases,3,FALSE)</f>
        <v>US</v>
      </c>
      <c r="G162" s="4" t="str">
        <f>VLOOKUP($A162,releases,8,FALSE)</f>
        <v>Stereo</v>
      </c>
      <c r="H162" s="4" t="str">
        <f>VLOOKUP($A162,releases,4,FALSE)</f>
        <v>Beatles '65</v>
      </c>
    </row>
    <row r="163" spans="1:8" x14ac:dyDescent="0.25">
      <c r="A163" t="s">
        <v>33</v>
      </c>
      <c r="B163">
        <v>1</v>
      </c>
      <c r="C163" t="s">
        <v>183</v>
      </c>
      <c r="D163" t="s">
        <v>105</v>
      </c>
      <c r="E163" s="4">
        <f>VLOOKUP($A163,releases,2,FALSE)</f>
        <v>4</v>
      </c>
      <c r="F163" s="4" t="str">
        <f>VLOOKUP($A163,releases,3,FALSE)</f>
        <v>US</v>
      </c>
      <c r="G163" s="4" t="str">
        <f>VLOOKUP($A163,releases,8,FALSE)</f>
        <v>Mono</v>
      </c>
      <c r="H163" s="4" t="str">
        <f>VLOOKUP($A163,releases,4,FALSE)</f>
        <v>Beatles '65</v>
      </c>
    </row>
    <row r="164" spans="1:8" x14ac:dyDescent="0.25">
      <c r="A164" t="s">
        <v>33</v>
      </c>
      <c r="B164">
        <v>2</v>
      </c>
      <c r="C164" t="s">
        <v>184</v>
      </c>
      <c r="D164" t="s">
        <v>105</v>
      </c>
      <c r="E164" s="4">
        <f>VLOOKUP($A164,releases,2,FALSE)</f>
        <v>4</v>
      </c>
      <c r="F164" s="4" t="str">
        <f>VLOOKUP($A164,releases,3,FALSE)</f>
        <v>US</v>
      </c>
      <c r="G164" s="4" t="str">
        <f>VLOOKUP($A164,releases,8,FALSE)</f>
        <v>Mono</v>
      </c>
      <c r="H164" s="4" t="str">
        <f>VLOOKUP($A164,releases,4,FALSE)</f>
        <v>Beatles '65</v>
      </c>
    </row>
    <row r="165" spans="1:8" x14ac:dyDescent="0.25">
      <c r="A165" t="s">
        <v>33</v>
      </c>
      <c r="B165">
        <v>3</v>
      </c>
      <c r="C165" t="s">
        <v>185</v>
      </c>
      <c r="D165" t="s">
        <v>105</v>
      </c>
      <c r="E165" s="4">
        <f>VLOOKUP($A165,releases,2,FALSE)</f>
        <v>4</v>
      </c>
      <c r="F165" s="4" t="str">
        <f>VLOOKUP($A165,releases,3,FALSE)</f>
        <v>US</v>
      </c>
      <c r="G165" s="4" t="str">
        <f>VLOOKUP($A165,releases,8,FALSE)</f>
        <v>Mono</v>
      </c>
      <c r="H165" s="4" t="str">
        <f>VLOOKUP($A165,releases,4,FALSE)</f>
        <v>Beatles '65</v>
      </c>
    </row>
    <row r="166" spans="1:8" x14ac:dyDescent="0.25">
      <c r="A166" t="s">
        <v>33</v>
      </c>
      <c r="B166">
        <v>4</v>
      </c>
      <c r="C166" t="s">
        <v>186</v>
      </c>
      <c r="D166" t="s">
        <v>154</v>
      </c>
      <c r="E166" s="4">
        <f>VLOOKUP($A166,releases,2,FALSE)</f>
        <v>4</v>
      </c>
      <c r="F166" s="4" t="str">
        <f>VLOOKUP($A166,releases,3,FALSE)</f>
        <v>US</v>
      </c>
      <c r="G166" s="4" t="str">
        <f>VLOOKUP($A166,releases,8,FALSE)</f>
        <v>Mono</v>
      </c>
      <c r="H166" s="4" t="str">
        <f>VLOOKUP($A166,releases,4,FALSE)</f>
        <v>Beatles '65</v>
      </c>
    </row>
    <row r="167" spans="1:8" x14ac:dyDescent="0.25">
      <c r="A167" t="s">
        <v>33</v>
      </c>
      <c r="B167">
        <v>5</v>
      </c>
      <c r="C167" t="s">
        <v>187</v>
      </c>
      <c r="D167" t="s">
        <v>105</v>
      </c>
      <c r="E167" s="4">
        <f>VLOOKUP($A167,releases,2,FALSE)</f>
        <v>4</v>
      </c>
      <c r="F167" s="4" t="str">
        <f>VLOOKUP($A167,releases,3,FALSE)</f>
        <v>US</v>
      </c>
      <c r="G167" s="4" t="str">
        <f>VLOOKUP($A167,releases,8,FALSE)</f>
        <v>Mono</v>
      </c>
      <c r="H167" s="4" t="str">
        <f>VLOOKUP($A167,releases,4,FALSE)</f>
        <v>Beatles '65</v>
      </c>
    </row>
    <row r="168" spans="1:8" x14ac:dyDescent="0.25">
      <c r="A168" t="s">
        <v>33</v>
      </c>
      <c r="B168">
        <v>6</v>
      </c>
      <c r="C168" t="s">
        <v>188</v>
      </c>
      <c r="D168" t="s">
        <v>189</v>
      </c>
      <c r="E168" s="4">
        <f>VLOOKUP($A168,releases,2,FALSE)</f>
        <v>4</v>
      </c>
      <c r="F168" s="4" t="str">
        <f>VLOOKUP($A168,releases,3,FALSE)</f>
        <v>US</v>
      </c>
      <c r="G168" s="4" t="str">
        <f>VLOOKUP($A168,releases,8,FALSE)</f>
        <v>Mono</v>
      </c>
      <c r="H168" s="4" t="str">
        <f>VLOOKUP($A168,releases,4,FALSE)</f>
        <v>Beatles '65</v>
      </c>
    </row>
    <row r="169" spans="1:8" x14ac:dyDescent="0.25">
      <c r="A169" t="s">
        <v>33</v>
      </c>
      <c r="B169">
        <v>7</v>
      </c>
      <c r="C169" t="s">
        <v>195</v>
      </c>
      <c r="D169" t="s">
        <v>196</v>
      </c>
      <c r="E169" s="4">
        <f>VLOOKUP($A169,releases,2,FALSE)</f>
        <v>4</v>
      </c>
      <c r="F169" s="4" t="str">
        <f>VLOOKUP($A169,releases,3,FALSE)</f>
        <v>US</v>
      </c>
      <c r="G169" s="4" t="str">
        <f>VLOOKUP($A169,releases,8,FALSE)</f>
        <v>Mono</v>
      </c>
      <c r="H169" s="4" t="str">
        <f>VLOOKUP($A169,releases,4,FALSE)</f>
        <v>Beatles '65</v>
      </c>
    </row>
    <row r="170" spans="1:8" x14ac:dyDescent="0.25">
      <c r="A170" t="s">
        <v>33</v>
      </c>
      <c r="B170">
        <v>8</v>
      </c>
      <c r="C170" t="s">
        <v>177</v>
      </c>
      <c r="D170" t="s">
        <v>105</v>
      </c>
      <c r="E170" s="4">
        <f>VLOOKUP($A170,releases,2,FALSE)</f>
        <v>4</v>
      </c>
      <c r="F170" s="4" t="str">
        <f>VLOOKUP($A170,releases,3,FALSE)</f>
        <v>US</v>
      </c>
      <c r="G170" s="4" t="str">
        <f>VLOOKUP($A170,releases,8,FALSE)</f>
        <v>Mono</v>
      </c>
      <c r="H170" s="4" t="str">
        <f>VLOOKUP($A170,releases,4,FALSE)</f>
        <v>Beatles '65</v>
      </c>
    </row>
    <row r="171" spans="1:8" x14ac:dyDescent="0.25">
      <c r="A171" t="s">
        <v>33</v>
      </c>
      <c r="B171">
        <v>9</v>
      </c>
      <c r="C171" t="s">
        <v>201</v>
      </c>
      <c r="D171" t="s">
        <v>105</v>
      </c>
      <c r="E171" s="4">
        <f>VLOOKUP($A171,releases,2,FALSE)</f>
        <v>4</v>
      </c>
      <c r="F171" s="4" t="str">
        <f>VLOOKUP($A171,releases,3,FALSE)</f>
        <v>US</v>
      </c>
      <c r="G171" s="4" t="str">
        <f>VLOOKUP($A171,releases,8,FALSE)</f>
        <v>Mono</v>
      </c>
      <c r="H171" s="4" t="str">
        <f>VLOOKUP($A171,releases,4,FALSE)</f>
        <v>Beatles '65</v>
      </c>
    </row>
    <row r="172" spans="1:8" x14ac:dyDescent="0.25">
      <c r="A172" t="s">
        <v>33</v>
      </c>
      <c r="B172">
        <v>10</v>
      </c>
      <c r="C172" t="s">
        <v>202</v>
      </c>
      <c r="D172" t="s">
        <v>105</v>
      </c>
      <c r="E172" s="4">
        <f>VLOOKUP($A172,releases,2,FALSE)</f>
        <v>4</v>
      </c>
      <c r="F172" s="4" t="str">
        <f>VLOOKUP($A172,releases,3,FALSE)</f>
        <v>US</v>
      </c>
      <c r="G172" s="4" t="str">
        <f>VLOOKUP($A172,releases,8,FALSE)</f>
        <v>Mono</v>
      </c>
      <c r="H172" s="4" t="str">
        <f>VLOOKUP($A172,releases,4,FALSE)</f>
        <v>Beatles '65</v>
      </c>
    </row>
    <row r="173" spans="1:8" x14ac:dyDescent="0.25">
      <c r="A173" t="s">
        <v>33</v>
      </c>
      <c r="B173">
        <v>11</v>
      </c>
      <c r="C173" t="s">
        <v>200</v>
      </c>
      <c r="D173" t="s">
        <v>196</v>
      </c>
      <c r="E173" s="4">
        <f>VLOOKUP($A173,releases,2,FALSE)</f>
        <v>4</v>
      </c>
      <c r="F173" s="4" t="str">
        <f>VLOOKUP($A173,releases,3,FALSE)</f>
        <v>US</v>
      </c>
      <c r="G173" s="4" t="str">
        <f>VLOOKUP($A173,releases,8,FALSE)</f>
        <v>Mono</v>
      </c>
      <c r="H173" s="4" t="str">
        <f>VLOOKUP($A173,releases,4,FALSE)</f>
        <v>Beatles '65</v>
      </c>
    </row>
    <row r="174" spans="1:8" x14ac:dyDescent="0.25">
      <c r="A174" t="s">
        <v>32</v>
      </c>
      <c r="B174">
        <v>1</v>
      </c>
      <c r="C174" t="s">
        <v>183</v>
      </c>
      <c r="D174" t="s">
        <v>105</v>
      </c>
      <c r="E174" s="4">
        <f>VLOOKUP($A174,releases,2,FALSE)</f>
        <v>4</v>
      </c>
      <c r="F174" s="4" t="str">
        <f>VLOOKUP($A174,releases,3,FALSE)</f>
        <v>UK</v>
      </c>
      <c r="G174" s="4" t="str">
        <f>VLOOKUP($A174,releases,8,FALSE)</f>
        <v>Stereo</v>
      </c>
      <c r="H174" s="4" t="str">
        <f>VLOOKUP($A174,releases,4,FALSE)</f>
        <v>Beatles for Sale</v>
      </c>
    </row>
    <row r="175" spans="1:8" x14ac:dyDescent="0.25">
      <c r="A175" t="s">
        <v>32</v>
      </c>
      <c r="B175">
        <v>2</v>
      </c>
      <c r="C175" t="s">
        <v>184</v>
      </c>
      <c r="D175" t="s">
        <v>105</v>
      </c>
      <c r="E175" s="4">
        <f>VLOOKUP($A175,releases,2,FALSE)</f>
        <v>4</v>
      </c>
      <c r="F175" s="4" t="str">
        <f>VLOOKUP($A175,releases,3,FALSE)</f>
        <v>UK</v>
      </c>
      <c r="G175" s="4" t="str">
        <f>VLOOKUP($A175,releases,8,FALSE)</f>
        <v>Stereo</v>
      </c>
      <c r="H175" s="4" t="str">
        <f>VLOOKUP($A175,releases,4,FALSE)</f>
        <v>Beatles for Sale</v>
      </c>
    </row>
    <row r="176" spans="1:8" x14ac:dyDescent="0.25">
      <c r="A176" t="s">
        <v>32</v>
      </c>
      <c r="B176">
        <v>3</v>
      </c>
      <c r="C176" t="s">
        <v>185</v>
      </c>
      <c r="D176" t="s">
        <v>105</v>
      </c>
      <c r="E176" s="4">
        <f>VLOOKUP($A176,releases,2,FALSE)</f>
        <v>4</v>
      </c>
      <c r="F176" s="4" t="str">
        <f>VLOOKUP($A176,releases,3,FALSE)</f>
        <v>UK</v>
      </c>
      <c r="G176" s="4" t="str">
        <f>VLOOKUP($A176,releases,8,FALSE)</f>
        <v>Stereo</v>
      </c>
      <c r="H176" s="4" t="str">
        <f>VLOOKUP($A176,releases,4,FALSE)</f>
        <v>Beatles for Sale</v>
      </c>
    </row>
    <row r="177" spans="1:8" x14ac:dyDescent="0.25">
      <c r="A177" t="s">
        <v>32</v>
      </c>
      <c r="B177">
        <v>4</v>
      </c>
      <c r="C177" t="s">
        <v>186</v>
      </c>
      <c r="D177" t="s">
        <v>154</v>
      </c>
      <c r="E177" s="4">
        <f>VLOOKUP($A177,releases,2,FALSE)</f>
        <v>4</v>
      </c>
      <c r="F177" s="4" t="str">
        <f>VLOOKUP($A177,releases,3,FALSE)</f>
        <v>UK</v>
      </c>
      <c r="G177" s="4" t="str">
        <f>VLOOKUP($A177,releases,8,FALSE)</f>
        <v>Stereo</v>
      </c>
      <c r="H177" s="4" t="str">
        <f>VLOOKUP($A177,releases,4,FALSE)</f>
        <v>Beatles for Sale</v>
      </c>
    </row>
    <row r="178" spans="1:8" x14ac:dyDescent="0.25">
      <c r="A178" t="s">
        <v>32</v>
      </c>
      <c r="B178">
        <v>5</v>
      </c>
      <c r="C178" t="s">
        <v>187</v>
      </c>
      <c r="D178" t="s">
        <v>105</v>
      </c>
      <c r="E178" s="4">
        <f>VLOOKUP($A178,releases,2,FALSE)</f>
        <v>4</v>
      </c>
      <c r="F178" s="4" t="str">
        <f>VLOOKUP($A178,releases,3,FALSE)</f>
        <v>UK</v>
      </c>
      <c r="G178" s="4" t="str">
        <f>VLOOKUP($A178,releases,8,FALSE)</f>
        <v>Stereo</v>
      </c>
      <c r="H178" s="4" t="str">
        <f>VLOOKUP($A178,releases,4,FALSE)</f>
        <v>Beatles for Sale</v>
      </c>
    </row>
    <row r="179" spans="1:8" x14ac:dyDescent="0.25">
      <c r="A179" t="s">
        <v>32</v>
      </c>
      <c r="B179">
        <v>6</v>
      </c>
      <c r="C179" t="s">
        <v>188</v>
      </c>
      <c r="D179" t="s">
        <v>189</v>
      </c>
      <c r="E179" s="4">
        <f>VLOOKUP($A179,releases,2,FALSE)</f>
        <v>4</v>
      </c>
      <c r="F179" s="4" t="str">
        <f>VLOOKUP($A179,releases,3,FALSE)</f>
        <v>UK</v>
      </c>
      <c r="G179" s="4" t="str">
        <f>VLOOKUP($A179,releases,8,FALSE)</f>
        <v>Stereo</v>
      </c>
      <c r="H179" s="4" t="str">
        <f>VLOOKUP($A179,releases,4,FALSE)</f>
        <v>Beatles for Sale</v>
      </c>
    </row>
    <row r="180" spans="1:8" x14ac:dyDescent="0.25">
      <c r="A180" t="s">
        <v>32</v>
      </c>
      <c r="B180">
        <v>7</v>
      </c>
      <c r="C180" t="s">
        <v>190</v>
      </c>
      <c r="D180" t="s">
        <v>191</v>
      </c>
      <c r="E180" s="4">
        <f>VLOOKUP($A180,releases,2,FALSE)</f>
        <v>4</v>
      </c>
      <c r="F180" s="4" t="str">
        <f>VLOOKUP($A180,releases,3,FALSE)</f>
        <v>UK</v>
      </c>
      <c r="G180" s="4" t="str">
        <f>VLOOKUP($A180,releases,8,FALSE)</f>
        <v>Stereo</v>
      </c>
      <c r="H180" s="4" t="str">
        <f>VLOOKUP($A180,releases,4,FALSE)</f>
        <v>Beatles for Sale</v>
      </c>
    </row>
    <row r="181" spans="1:8" x14ac:dyDescent="0.25">
      <c r="A181" t="s">
        <v>32</v>
      </c>
      <c r="B181">
        <v>8</v>
      </c>
      <c r="C181" t="s">
        <v>192</v>
      </c>
      <c r="D181" t="s">
        <v>105</v>
      </c>
      <c r="E181" s="4">
        <f>VLOOKUP($A181,releases,2,FALSE)</f>
        <v>4</v>
      </c>
      <c r="F181" s="4" t="str">
        <f>VLOOKUP($A181,releases,3,FALSE)</f>
        <v>UK</v>
      </c>
      <c r="G181" s="4" t="str">
        <f>VLOOKUP($A181,releases,8,FALSE)</f>
        <v>Stereo</v>
      </c>
      <c r="H181" s="4" t="str">
        <f>VLOOKUP($A181,releases,4,FALSE)</f>
        <v>Beatles for Sale</v>
      </c>
    </row>
    <row r="182" spans="1:8" x14ac:dyDescent="0.25">
      <c r="A182" t="s">
        <v>32</v>
      </c>
      <c r="B182">
        <v>9</v>
      </c>
      <c r="C182" t="s">
        <v>193</v>
      </c>
      <c r="D182" t="s">
        <v>194</v>
      </c>
      <c r="E182" s="4">
        <f>VLOOKUP($A182,releases,2,FALSE)</f>
        <v>4</v>
      </c>
      <c r="F182" s="4" t="str">
        <f>VLOOKUP($A182,releases,3,FALSE)</f>
        <v>UK</v>
      </c>
      <c r="G182" s="4" t="str">
        <f>VLOOKUP($A182,releases,8,FALSE)</f>
        <v>Stereo</v>
      </c>
      <c r="H182" s="4" t="str">
        <f>VLOOKUP($A182,releases,4,FALSE)</f>
        <v>Beatles for Sale</v>
      </c>
    </row>
    <row r="183" spans="1:8" x14ac:dyDescent="0.25">
      <c r="A183" t="s">
        <v>32</v>
      </c>
      <c r="B183">
        <v>10</v>
      </c>
      <c r="C183" t="s">
        <v>195</v>
      </c>
      <c r="D183" t="s">
        <v>196</v>
      </c>
      <c r="E183" s="4">
        <f>VLOOKUP($A183,releases,2,FALSE)</f>
        <v>4</v>
      </c>
      <c r="F183" s="4" t="str">
        <f>VLOOKUP($A183,releases,3,FALSE)</f>
        <v>UK</v>
      </c>
      <c r="G183" s="4" t="str">
        <f>VLOOKUP($A183,releases,8,FALSE)</f>
        <v>Stereo</v>
      </c>
      <c r="H183" s="4" t="str">
        <f>VLOOKUP($A183,releases,4,FALSE)</f>
        <v>Beatles for Sale</v>
      </c>
    </row>
    <row r="184" spans="1:8" x14ac:dyDescent="0.25">
      <c r="A184" t="s">
        <v>32</v>
      </c>
      <c r="B184">
        <v>11</v>
      </c>
      <c r="C184" t="s">
        <v>197</v>
      </c>
      <c r="D184" t="s">
        <v>105</v>
      </c>
      <c r="E184" s="4">
        <f>VLOOKUP($A184,releases,2,FALSE)</f>
        <v>4</v>
      </c>
      <c r="F184" s="4" t="str">
        <f>VLOOKUP($A184,releases,3,FALSE)</f>
        <v>UK</v>
      </c>
      <c r="G184" s="4" t="str">
        <f>VLOOKUP($A184,releases,8,FALSE)</f>
        <v>Stereo</v>
      </c>
      <c r="H184" s="4" t="str">
        <f>VLOOKUP($A184,releases,4,FALSE)</f>
        <v>Beatles for Sale</v>
      </c>
    </row>
    <row r="185" spans="1:8" x14ac:dyDescent="0.25">
      <c r="A185" t="s">
        <v>32</v>
      </c>
      <c r="B185">
        <v>12</v>
      </c>
      <c r="C185" t="s">
        <v>198</v>
      </c>
      <c r="D185" t="s">
        <v>105</v>
      </c>
      <c r="E185" s="4">
        <f>VLOOKUP($A185,releases,2,FALSE)</f>
        <v>4</v>
      </c>
      <c r="F185" s="4" t="str">
        <f>VLOOKUP($A185,releases,3,FALSE)</f>
        <v>UK</v>
      </c>
      <c r="G185" s="4" t="str">
        <f>VLOOKUP($A185,releases,8,FALSE)</f>
        <v>Stereo</v>
      </c>
      <c r="H185" s="4" t="str">
        <f>VLOOKUP($A185,releases,4,FALSE)</f>
        <v>Beatles for Sale</v>
      </c>
    </row>
    <row r="186" spans="1:8" x14ac:dyDescent="0.25">
      <c r="A186" t="s">
        <v>32</v>
      </c>
      <c r="B186">
        <v>13</v>
      </c>
      <c r="C186" t="s">
        <v>199</v>
      </c>
      <c r="D186" t="s">
        <v>105</v>
      </c>
      <c r="E186" s="4">
        <f>VLOOKUP($A186,releases,2,FALSE)</f>
        <v>4</v>
      </c>
      <c r="F186" s="4" t="str">
        <f>VLOOKUP($A186,releases,3,FALSE)</f>
        <v>UK</v>
      </c>
      <c r="G186" s="4" t="str">
        <f>VLOOKUP($A186,releases,8,FALSE)</f>
        <v>Stereo</v>
      </c>
      <c r="H186" s="4" t="str">
        <f>VLOOKUP($A186,releases,4,FALSE)</f>
        <v>Beatles for Sale</v>
      </c>
    </row>
    <row r="187" spans="1:8" x14ac:dyDescent="0.25">
      <c r="A187" t="s">
        <v>32</v>
      </c>
      <c r="B187">
        <v>14</v>
      </c>
      <c r="C187" t="s">
        <v>200</v>
      </c>
      <c r="D187" t="s">
        <v>196</v>
      </c>
      <c r="E187" s="4">
        <f>VLOOKUP($A187,releases,2,FALSE)</f>
        <v>4</v>
      </c>
      <c r="F187" s="4" t="str">
        <f>VLOOKUP($A187,releases,3,FALSE)</f>
        <v>UK</v>
      </c>
      <c r="G187" s="4" t="str">
        <f>VLOOKUP($A187,releases,8,FALSE)</f>
        <v>Stereo</v>
      </c>
      <c r="H187" s="4" t="str">
        <f>VLOOKUP($A187,releases,4,FALSE)</f>
        <v>Beatles for Sale</v>
      </c>
    </row>
    <row r="188" spans="1:8" x14ac:dyDescent="0.25">
      <c r="A188" t="s">
        <v>30</v>
      </c>
      <c r="B188">
        <v>1</v>
      </c>
      <c r="C188" t="s">
        <v>183</v>
      </c>
      <c r="D188" t="s">
        <v>105</v>
      </c>
      <c r="E188" s="4">
        <f>VLOOKUP($A188,releases,2,FALSE)</f>
        <v>4</v>
      </c>
      <c r="F188" s="4" t="str">
        <f>VLOOKUP($A188,releases,3,FALSE)</f>
        <v>UK</v>
      </c>
      <c r="G188" s="4" t="str">
        <f>VLOOKUP($A188,releases,8,FALSE)</f>
        <v>Mono</v>
      </c>
      <c r="H188" s="4" t="str">
        <f>VLOOKUP($A188,releases,4,FALSE)</f>
        <v>Beatles for Sale</v>
      </c>
    </row>
    <row r="189" spans="1:8" x14ac:dyDescent="0.25">
      <c r="A189" t="s">
        <v>30</v>
      </c>
      <c r="B189">
        <v>2</v>
      </c>
      <c r="C189" t="s">
        <v>184</v>
      </c>
      <c r="D189" t="s">
        <v>105</v>
      </c>
      <c r="E189" s="4">
        <f>VLOOKUP($A189,releases,2,FALSE)</f>
        <v>4</v>
      </c>
      <c r="F189" s="4" t="str">
        <f>VLOOKUP($A189,releases,3,FALSE)</f>
        <v>UK</v>
      </c>
      <c r="G189" s="4" t="str">
        <f>VLOOKUP($A189,releases,8,FALSE)</f>
        <v>Mono</v>
      </c>
      <c r="H189" s="4" t="str">
        <f>VLOOKUP($A189,releases,4,FALSE)</f>
        <v>Beatles for Sale</v>
      </c>
    </row>
    <row r="190" spans="1:8" x14ac:dyDescent="0.25">
      <c r="A190" t="s">
        <v>30</v>
      </c>
      <c r="B190">
        <v>3</v>
      </c>
      <c r="C190" t="s">
        <v>185</v>
      </c>
      <c r="D190" t="s">
        <v>105</v>
      </c>
      <c r="E190" s="4">
        <f>VLOOKUP($A190,releases,2,FALSE)</f>
        <v>4</v>
      </c>
      <c r="F190" s="4" t="str">
        <f>VLOOKUP($A190,releases,3,FALSE)</f>
        <v>UK</v>
      </c>
      <c r="G190" s="4" t="str">
        <f>VLOOKUP($A190,releases,8,FALSE)</f>
        <v>Mono</v>
      </c>
      <c r="H190" s="4" t="str">
        <f>VLOOKUP($A190,releases,4,FALSE)</f>
        <v>Beatles for Sale</v>
      </c>
    </row>
    <row r="191" spans="1:8" x14ac:dyDescent="0.25">
      <c r="A191" t="s">
        <v>30</v>
      </c>
      <c r="B191">
        <v>4</v>
      </c>
      <c r="C191" t="s">
        <v>186</v>
      </c>
      <c r="D191" t="s">
        <v>154</v>
      </c>
      <c r="E191" s="4">
        <f>VLOOKUP($A191,releases,2,FALSE)</f>
        <v>4</v>
      </c>
      <c r="F191" s="4" t="str">
        <f>VLOOKUP($A191,releases,3,FALSE)</f>
        <v>UK</v>
      </c>
      <c r="G191" s="4" t="str">
        <f>VLOOKUP($A191,releases,8,FALSE)</f>
        <v>Mono</v>
      </c>
      <c r="H191" s="4" t="str">
        <f>VLOOKUP($A191,releases,4,FALSE)</f>
        <v>Beatles for Sale</v>
      </c>
    </row>
    <row r="192" spans="1:8" x14ac:dyDescent="0.25">
      <c r="A192" t="s">
        <v>30</v>
      </c>
      <c r="B192">
        <v>5</v>
      </c>
      <c r="C192" t="s">
        <v>187</v>
      </c>
      <c r="D192" t="s">
        <v>105</v>
      </c>
      <c r="E192" s="4">
        <f>VLOOKUP($A192,releases,2,FALSE)</f>
        <v>4</v>
      </c>
      <c r="F192" s="4" t="str">
        <f>VLOOKUP($A192,releases,3,FALSE)</f>
        <v>UK</v>
      </c>
      <c r="G192" s="4" t="str">
        <f>VLOOKUP($A192,releases,8,FALSE)</f>
        <v>Mono</v>
      </c>
      <c r="H192" s="4" t="str">
        <f>VLOOKUP($A192,releases,4,FALSE)</f>
        <v>Beatles for Sale</v>
      </c>
    </row>
    <row r="193" spans="1:8" x14ac:dyDescent="0.25">
      <c r="A193" t="s">
        <v>30</v>
      </c>
      <c r="B193">
        <v>6</v>
      </c>
      <c r="C193" t="s">
        <v>188</v>
      </c>
      <c r="D193" t="s">
        <v>189</v>
      </c>
      <c r="E193" s="4">
        <f>VLOOKUP($A193,releases,2,FALSE)</f>
        <v>4</v>
      </c>
      <c r="F193" s="4" t="str">
        <f>VLOOKUP($A193,releases,3,FALSE)</f>
        <v>UK</v>
      </c>
      <c r="G193" s="4" t="str">
        <f>VLOOKUP($A193,releases,8,FALSE)</f>
        <v>Mono</v>
      </c>
      <c r="H193" s="4" t="str">
        <f>VLOOKUP($A193,releases,4,FALSE)</f>
        <v>Beatles for Sale</v>
      </c>
    </row>
    <row r="194" spans="1:8" x14ac:dyDescent="0.25">
      <c r="A194" t="s">
        <v>30</v>
      </c>
      <c r="B194">
        <v>7</v>
      </c>
      <c r="C194" t="s">
        <v>190</v>
      </c>
      <c r="D194" t="s">
        <v>191</v>
      </c>
      <c r="E194" s="4">
        <f>VLOOKUP($A194,releases,2,FALSE)</f>
        <v>4</v>
      </c>
      <c r="F194" s="4" t="str">
        <f>VLOOKUP($A194,releases,3,FALSE)</f>
        <v>UK</v>
      </c>
      <c r="G194" s="4" t="str">
        <f>VLOOKUP($A194,releases,8,FALSE)</f>
        <v>Mono</v>
      </c>
      <c r="H194" s="4" t="str">
        <f>VLOOKUP($A194,releases,4,FALSE)</f>
        <v>Beatles for Sale</v>
      </c>
    </row>
    <row r="195" spans="1:8" x14ac:dyDescent="0.25">
      <c r="A195" t="s">
        <v>30</v>
      </c>
      <c r="B195">
        <v>8</v>
      </c>
      <c r="C195" t="s">
        <v>192</v>
      </c>
      <c r="D195" t="s">
        <v>105</v>
      </c>
      <c r="E195" s="4">
        <f>VLOOKUP($A195,releases,2,FALSE)</f>
        <v>4</v>
      </c>
      <c r="F195" s="4" t="str">
        <f>VLOOKUP($A195,releases,3,FALSE)</f>
        <v>UK</v>
      </c>
      <c r="G195" s="4" t="str">
        <f>VLOOKUP($A195,releases,8,FALSE)</f>
        <v>Mono</v>
      </c>
      <c r="H195" s="4" t="str">
        <f>VLOOKUP($A195,releases,4,FALSE)</f>
        <v>Beatles for Sale</v>
      </c>
    </row>
    <row r="196" spans="1:8" x14ac:dyDescent="0.25">
      <c r="A196" t="s">
        <v>30</v>
      </c>
      <c r="B196">
        <v>9</v>
      </c>
      <c r="C196" t="s">
        <v>193</v>
      </c>
      <c r="D196" t="s">
        <v>194</v>
      </c>
      <c r="E196" s="4">
        <f>VLOOKUP($A196,releases,2,FALSE)</f>
        <v>4</v>
      </c>
      <c r="F196" s="4" t="str">
        <f>VLOOKUP($A196,releases,3,FALSE)</f>
        <v>UK</v>
      </c>
      <c r="G196" s="4" t="str">
        <f>VLOOKUP($A196,releases,8,FALSE)</f>
        <v>Mono</v>
      </c>
      <c r="H196" s="4" t="str">
        <f>VLOOKUP($A196,releases,4,FALSE)</f>
        <v>Beatles for Sale</v>
      </c>
    </row>
    <row r="197" spans="1:8" x14ac:dyDescent="0.25">
      <c r="A197" t="s">
        <v>30</v>
      </c>
      <c r="B197">
        <v>10</v>
      </c>
      <c r="C197" t="s">
        <v>195</v>
      </c>
      <c r="D197" t="s">
        <v>196</v>
      </c>
      <c r="E197" s="4">
        <f>VLOOKUP($A197,releases,2,FALSE)</f>
        <v>4</v>
      </c>
      <c r="F197" s="4" t="str">
        <f>VLOOKUP($A197,releases,3,FALSE)</f>
        <v>UK</v>
      </c>
      <c r="G197" s="4" t="str">
        <f>VLOOKUP($A197,releases,8,FALSE)</f>
        <v>Mono</v>
      </c>
      <c r="H197" s="4" t="str">
        <f>VLOOKUP($A197,releases,4,FALSE)</f>
        <v>Beatles for Sale</v>
      </c>
    </row>
    <row r="198" spans="1:8" x14ac:dyDescent="0.25">
      <c r="A198" t="s">
        <v>30</v>
      </c>
      <c r="B198">
        <v>11</v>
      </c>
      <c r="C198" t="s">
        <v>197</v>
      </c>
      <c r="D198" t="s">
        <v>105</v>
      </c>
      <c r="E198" s="4">
        <f>VLOOKUP($A198,releases,2,FALSE)</f>
        <v>4</v>
      </c>
      <c r="F198" s="4" t="str">
        <f>VLOOKUP($A198,releases,3,FALSE)</f>
        <v>UK</v>
      </c>
      <c r="G198" s="4" t="str">
        <f>VLOOKUP($A198,releases,8,FALSE)</f>
        <v>Mono</v>
      </c>
      <c r="H198" s="4" t="str">
        <f>VLOOKUP($A198,releases,4,FALSE)</f>
        <v>Beatles for Sale</v>
      </c>
    </row>
    <row r="199" spans="1:8" x14ac:dyDescent="0.25">
      <c r="A199" t="s">
        <v>30</v>
      </c>
      <c r="B199">
        <v>12</v>
      </c>
      <c r="C199" t="s">
        <v>198</v>
      </c>
      <c r="D199" t="s">
        <v>105</v>
      </c>
      <c r="E199" s="4">
        <f>VLOOKUP($A199,releases,2,FALSE)</f>
        <v>4</v>
      </c>
      <c r="F199" s="4" t="str">
        <f>VLOOKUP($A199,releases,3,FALSE)</f>
        <v>UK</v>
      </c>
      <c r="G199" s="4" t="str">
        <f>VLOOKUP($A199,releases,8,FALSE)</f>
        <v>Mono</v>
      </c>
      <c r="H199" s="4" t="str">
        <f>VLOOKUP($A199,releases,4,FALSE)</f>
        <v>Beatles for Sale</v>
      </c>
    </row>
    <row r="200" spans="1:8" x14ac:dyDescent="0.25">
      <c r="A200" t="s">
        <v>30</v>
      </c>
      <c r="B200">
        <v>13</v>
      </c>
      <c r="C200" t="s">
        <v>199</v>
      </c>
      <c r="D200" t="s">
        <v>105</v>
      </c>
      <c r="E200" s="4">
        <f>VLOOKUP($A200,releases,2,FALSE)</f>
        <v>4</v>
      </c>
      <c r="F200" s="4" t="str">
        <f>VLOOKUP($A200,releases,3,FALSE)</f>
        <v>UK</v>
      </c>
      <c r="G200" s="4" t="str">
        <f>VLOOKUP($A200,releases,8,FALSE)</f>
        <v>Mono</v>
      </c>
      <c r="H200" s="4" t="str">
        <f>VLOOKUP($A200,releases,4,FALSE)</f>
        <v>Beatles for Sale</v>
      </c>
    </row>
    <row r="201" spans="1:8" x14ac:dyDescent="0.25">
      <c r="A201" t="s">
        <v>30</v>
      </c>
      <c r="B201">
        <v>14</v>
      </c>
      <c r="C201" t="s">
        <v>200</v>
      </c>
      <c r="D201" t="s">
        <v>196</v>
      </c>
      <c r="E201" s="4">
        <f>VLOOKUP($A201,releases,2,FALSE)</f>
        <v>4</v>
      </c>
      <c r="F201" s="4" t="str">
        <f>VLOOKUP($A201,releases,3,FALSE)</f>
        <v>UK</v>
      </c>
      <c r="G201" s="4" t="str">
        <f>VLOOKUP($A201,releases,8,FALSE)</f>
        <v>Mono</v>
      </c>
      <c r="H201" s="4" t="str">
        <f>VLOOKUP($A201,releases,4,FALSE)</f>
        <v>Beatles for Sale</v>
      </c>
    </row>
    <row r="202" spans="1:8" x14ac:dyDescent="0.25">
      <c r="A202" t="s">
        <v>39</v>
      </c>
      <c r="B202">
        <v>1</v>
      </c>
      <c r="C202" t="s">
        <v>37</v>
      </c>
      <c r="D202" t="s">
        <v>105</v>
      </c>
      <c r="E202" s="4">
        <f>VLOOKUP($A202,releases,2,FALSE)</f>
        <v>5</v>
      </c>
      <c r="F202" s="4" t="str">
        <f>VLOOKUP($A202,releases,3,FALSE)</f>
        <v>US</v>
      </c>
      <c r="G202" s="4" t="str">
        <f>VLOOKUP($A202,releases,8,FALSE)</f>
        <v>Mono</v>
      </c>
      <c r="H202" s="4" t="str">
        <f>VLOOKUP($A202,releases,4,FALSE)</f>
        <v>Help! (Original Motion Picture Soundtrack)</v>
      </c>
    </row>
    <row r="203" spans="1:8" x14ac:dyDescent="0.25">
      <c r="A203" t="s">
        <v>39</v>
      </c>
      <c r="B203">
        <v>2</v>
      </c>
      <c r="C203" t="s">
        <v>203</v>
      </c>
      <c r="D203" t="s">
        <v>105</v>
      </c>
      <c r="E203" s="4">
        <f>VLOOKUP($A203,releases,2,FALSE)</f>
        <v>5</v>
      </c>
      <c r="F203" s="4" t="str">
        <f>VLOOKUP($A203,releases,3,FALSE)</f>
        <v>US</v>
      </c>
      <c r="G203" s="4" t="str">
        <f>VLOOKUP($A203,releases,8,FALSE)</f>
        <v>Mono</v>
      </c>
      <c r="H203" s="4" t="str">
        <f>VLOOKUP($A203,releases,4,FALSE)</f>
        <v>Help! (Original Motion Picture Soundtrack)</v>
      </c>
    </row>
    <row r="204" spans="1:8" x14ac:dyDescent="0.25">
      <c r="A204" t="s">
        <v>39</v>
      </c>
      <c r="B204">
        <v>3</v>
      </c>
      <c r="C204" t="s">
        <v>216</v>
      </c>
      <c r="D204" t="s">
        <v>84</v>
      </c>
      <c r="E204" s="4">
        <f>VLOOKUP($A204,releases,2,FALSE)</f>
        <v>5</v>
      </c>
      <c r="F204" s="4" t="str">
        <f>VLOOKUP($A204,releases,3,FALSE)</f>
        <v>US</v>
      </c>
      <c r="G204" s="4" t="str">
        <f>VLOOKUP($A204,releases,8,FALSE)</f>
        <v>Mono</v>
      </c>
      <c r="H204" s="4" t="str">
        <f>VLOOKUP($A204,releases,4,FALSE)</f>
        <v>Help! (Original Motion Picture Soundtrack)</v>
      </c>
    </row>
    <row r="205" spans="1:8" x14ac:dyDescent="0.25">
      <c r="A205" t="s">
        <v>39</v>
      </c>
      <c r="B205">
        <v>4</v>
      </c>
      <c r="C205" t="s">
        <v>204</v>
      </c>
      <c r="D205" t="s">
        <v>105</v>
      </c>
      <c r="E205" s="4">
        <f>VLOOKUP($A205,releases,2,FALSE)</f>
        <v>5</v>
      </c>
      <c r="F205" s="4" t="str">
        <f>VLOOKUP($A205,releases,3,FALSE)</f>
        <v>US</v>
      </c>
      <c r="G205" s="4" t="str">
        <f>VLOOKUP($A205,releases,8,FALSE)</f>
        <v>Mono</v>
      </c>
      <c r="H205" s="4" t="str">
        <f>VLOOKUP($A205,releases,4,FALSE)</f>
        <v>Help! (Original Motion Picture Soundtrack)</v>
      </c>
    </row>
    <row r="206" spans="1:8" x14ac:dyDescent="0.25">
      <c r="A206" t="s">
        <v>39</v>
      </c>
      <c r="B206">
        <v>5</v>
      </c>
      <c r="C206" t="s">
        <v>205</v>
      </c>
      <c r="D206" t="s">
        <v>110</v>
      </c>
      <c r="E206" s="4">
        <f>VLOOKUP($A206,releases,2,FALSE)</f>
        <v>5</v>
      </c>
      <c r="F206" s="4" t="str">
        <f>VLOOKUP($A206,releases,3,FALSE)</f>
        <v>US</v>
      </c>
      <c r="G206" s="4" t="str">
        <f>VLOOKUP($A206,releases,8,FALSE)</f>
        <v>Mono</v>
      </c>
      <c r="H206" s="4" t="str">
        <f>VLOOKUP($A206,releases,4,FALSE)</f>
        <v>Help! (Original Motion Picture Soundtrack)</v>
      </c>
    </row>
    <row r="207" spans="1:8" x14ac:dyDescent="0.25">
      <c r="A207" t="s">
        <v>39</v>
      </c>
      <c r="B207">
        <v>6</v>
      </c>
      <c r="C207" t="s">
        <v>217</v>
      </c>
      <c r="D207" t="s">
        <v>84</v>
      </c>
      <c r="E207" s="4">
        <f>VLOOKUP($A207,releases,2,FALSE)</f>
        <v>5</v>
      </c>
      <c r="F207" s="4" t="str">
        <f>VLOOKUP($A207,releases,3,FALSE)</f>
        <v>US</v>
      </c>
      <c r="G207" s="4" t="str">
        <f>VLOOKUP($A207,releases,8,FALSE)</f>
        <v>Mono</v>
      </c>
      <c r="H207" s="4" t="str">
        <f>VLOOKUP($A207,releases,4,FALSE)</f>
        <v>Help! (Original Motion Picture Soundtrack)</v>
      </c>
    </row>
    <row r="208" spans="1:8" x14ac:dyDescent="0.25">
      <c r="A208" t="s">
        <v>39</v>
      </c>
      <c r="B208">
        <v>7</v>
      </c>
      <c r="C208" t="s">
        <v>206</v>
      </c>
      <c r="D208" t="s">
        <v>105</v>
      </c>
      <c r="E208" s="4">
        <f>VLOOKUP($A208,releases,2,FALSE)</f>
        <v>5</v>
      </c>
      <c r="F208" s="4" t="str">
        <f>VLOOKUP($A208,releases,3,FALSE)</f>
        <v>US</v>
      </c>
      <c r="G208" s="4" t="str">
        <f>VLOOKUP($A208,releases,8,FALSE)</f>
        <v>Mono</v>
      </c>
      <c r="H208" s="4" t="str">
        <f>VLOOKUP($A208,releases,4,FALSE)</f>
        <v>Help! (Original Motion Picture Soundtrack)</v>
      </c>
    </row>
    <row r="209" spans="1:8" x14ac:dyDescent="0.25">
      <c r="A209" t="s">
        <v>39</v>
      </c>
      <c r="B209">
        <v>8</v>
      </c>
      <c r="C209" t="s">
        <v>218</v>
      </c>
      <c r="D209" t="s">
        <v>84</v>
      </c>
      <c r="E209" s="4">
        <f>VLOOKUP($A209,releases,2,FALSE)</f>
        <v>5</v>
      </c>
      <c r="F209" s="4" t="str">
        <f>VLOOKUP($A209,releases,3,FALSE)</f>
        <v>US</v>
      </c>
      <c r="G209" s="4" t="str">
        <f>VLOOKUP($A209,releases,8,FALSE)</f>
        <v>Mono</v>
      </c>
      <c r="H209" s="4" t="str">
        <f>VLOOKUP($A209,releases,4,FALSE)</f>
        <v>Help! (Original Motion Picture Soundtrack)</v>
      </c>
    </row>
    <row r="210" spans="1:8" x14ac:dyDescent="0.25">
      <c r="A210" t="s">
        <v>39</v>
      </c>
      <c r="B210">
        <v>9</v>
      </c>
      <c r="C210" t="s">
        <v>208</v>
      </c>
      <c r="D210" t="s">
        <v>105</v>
      </c>
      <c r="E210" s="4">
        <f>VLOOKUP($A210,releases,2,FALSE)</f>
        <v>5</v>
      </c>
      <c r="F210" s="4" t="str">
        <f>VLOOKUP($A210,releases,3,FALSE)</f>
        <v>US</v>
      </c>
      <c r="G210" s="4" t="str">
        <f>VLOOKUP($A210,releases,8,FALSE)</f>
        <v>Mono</v>
      </c>
      <c r="H210" s="4" t="str">
        <f>VLOOKUP($A210,releases,4,FALSE)</f>
        <v>Help! (Original Motion Picture Soundtrack)</v>
      </c>
    </row>
    <row r="211" spans="1:8" x14ac:dyDescent="0.25">
      <c r="A211" t="s">
        <v>39</v>
      </c>
      <c r="B211">
        <v>10</v>
      </c>
      <c r="C211" t="s">
        <v>219</v>
      </c>
      <c r="D211" t="s">
        <v>84</v>
      </c>
      <c r="E211" s="4">
        <f>VLOOKUP($A211,releases,2,FALSE)</f>
        <v>5</v>
      </c>
      <c r="F211" s="4" t="str">
        <f>VLOOKUP($A211,releases,3,FALSE)</f>
        <v>US</v>
      </c>
      <c r="G211" s="4" t="str">
        <f>VLOOKUP($A211,releases,8,FALSE)</f>
        <v>Mono</v>
      </c>
      <c r="H211" s="4" t="str">
        <f>VLOOKUP($A211,releases,4,FALSE)</f>
        <v>Help! (Original Motion Picture Soundtrack)</v>
      </c>
    </row>
    <row r="212" spans="1:8" x14ac:dyDescent="0.25">
      <c r="A212" t="s">
        <v>39</v>
      </c>
      <c r="B212">
        <v>11</v>
      </c>
      <c r="C212" t="s">
        <v>207</v>
      </c>
      <c r="D212" t="s">
        <v>105</v>
      </c>
      <c r="E212" s="4">
        <f>VLOOKUP($A212,releases,2,FALSE)</f>
        <v>5</v>
      </c>
      <c r="F212" s="4" t="str">
        <f>VLOOKUP($A212,releases,3,FALSE)</f>
        <v>US</v>
      </c>
      <c r="G212" s="4" t="str">
        <f>VLOOKUP($A212,releases,8,FALSE)</f>
        <v>Mono</v>
      </c>
      <c r="H212" s="4" t="str">
        <f>VLOOKUP($A212,releases,4,FALSE)</f>
        <v>Help! (Original Motion Picture Soundtrack)</v>
      </c>
    </row>
    <row r="213" spans="1:8" x14ac:dyDescent="0.25">
      <c r="A213" t="s">
        <v>39</v>
      </c>
      <c r="B213">
        <v>12</v>
      </c>
      <c r="C213" t="s">
        <v>220</v>
      </c>
      <c r="D213" t="s">
        <v>84</v>
      </c>
      <c r="E213" s="4">
        <f>VLOOKUP($A213,releases,2,FALSE)</f>
        <v>5</v>
      </c>
      <c r="F213" s="4" t="str">
        <f>VLOOKUP($A213,releases,3,FALSE)</f>
        <v>US</v>
      </c>
      <c r="G213" s="4" t="str">
        <f>VLOOKUP($A213,releases,8,FALSE)</f>
        <v>Mono</v>
      </c>
      <c r="H213" s="4" t="str">
        <f>VLOOKUP($A213,releases,4,FALSE)</f>
        <v>Help! (Original Motion Picture Soundtrack)</v>
      </c>
    </row>
    <row r="214" spans="1:8" x14ac:dyDescent="0.25">
      <c r="A214" t="s">
        <v>41</v>
      </c>
      <c r="B214">
        <v>1</v>
      </c>
      <c r="C214" t="s">
        <v>37</v>
      </c>
      <c r="D214" t="s">
        <v>105</v>
      </c>
      <c r="E214" s="4">
        <f>VLOOKUP($A214,releases,2,FALSE)</f>
        <v>5</v>
      </c>
      <c r="F214" s="4" t="str">
        <f>VLOOKUP($A214,releases,3,FALSE)</f>
        <v>US</v>
      </c>
      <c r="G214" s="4" t="str">
        <f>VLOOKUP($A214,releases,8,FALSE)</f>
        <v>Stereo</v>
      </c>
      <c r="H214" s="4" t="str">
        <f>VLOOKUP($A214,releases,4,FALSE)</f>
        <v>Help! (Original Motion Picture Soundtrack)</v>
      </c>
    </row>
    <row r="215" spans="1:8" x14ac:dyDescent="0.25">
      <c r="A215" t="s">
        <v>41</v>
      </c>
      <c r="B215">
        <v>2</v>
      </c>
      <c r="C215" t="s">
        <v>203</v>
      </c>
      <c r="D215" t="s">
        <v>105</v>
      </c>
      <c r="E215" s="4">
        <f>VLOOKUP($A215,releases,2,FALSE)</f>
        <v>5</v>
      </c>
      <c r="F215" s="4" t="str">
        <f>VLOOKUP($A215,releases,3,FALSE)</f>
        <v>US</v>
      </c>
      <c r="G215" s="4" t="str">
        <f>VLOOKUP($A215,releases,8,FALSE)</f>
        <v>Stereo</v>
      </c>
      <c r="H215" s="4" t="str">
        <f>VLOOKUP($A215,releases,4,FALSE)</f>
        <v>Help! (Original Motion Picture Soundtrack)</v>
      </c>
    </row>
    <row r="216" spans="1:8" x14ac:dyDescent="0.25">
      <c r="A216" t="s">
        <v>41</v>
      </c>
      <c r="B216">
        <v>3</v>
      </c>
      <c r="C216" t="s">
        <v>216</v>
      </c>
      <c r="D216" t="s">
        <v>84</v>
      </c>
      <c r="E216" s="4">
        <f>VLOOKUP($A216,releases,2,FALSE)</f>
        <v>5</v>
      </c>
      <c r="F216" s="4" t="str">
        <f>VLOOKUP($A216,releases,3,FALSE)</f>
        <v>US</v>
      </c>
      <c r="G216" s="4" t="str">
        <f>VLOOKUP($A216,releases,8,FALSE)</f>
        <v>Stereo</v>
      </c>
      <c r="H216" s="4" t="str">
        <f>VLOOKUP($A216,releases,4,FALSE)</f>
        <v>Help! (Original Motion Picture Soundtrack)</v>
      </c>
    </row>
    <row r="217" spans="1:8" x14ac:dyDescent="0.25">
      <c r="A217" t="s">
        <v>41</v>
      </c>
      <c r="B217">
        <v>4</v>
      </c>
      <c r="C217" t="s">
        <v>204</v>
      </c>
      <c r="D217" t="s">
        <v>105</v>
      </c>
      <c r="E217" s="4">
        <f>VLOOKUP($A217,releases,2,FALSE)</f>
        <v>5</v>
      </c>
      <c r="F217" s="4" t="str">
        <f>VLOOKUP($A217,releases,3,FALSE)</f>
        <v>US</v>
      </c>
      <c r="G217" s="4" t="str">
        <f>VLOOKUP($A217,releases,8,FALSE)</f>
        <v>Stereo</v>
      </c>
      <c r="H217" s="4" t="str">
        <f>VLOOKUP($A217,releases,4,FALSE)</f>
        <v>Help! (Original Motion Picture Soundtrack)</v>
      </c>
    </row>
    <row r="218" spans="1:8" x14ac:dyDescent="0.25">
      <c r="A218" t="s">
        <v>41</v>
      </c>
      <c r="B218">
        <v>5</v>
      </c>
      <c r="C218" t="s">
        <v>205</v>
      </c>
      <c r="D218" t="s">
        <v>110</v>
      </c>
      <c r="E218" s="4">
        <f>VLOOKUP($A218,releases,2,FALSE)</f>
        <v>5</v>
      </c>
      <c r="F218" s="4" t="str">
        <f>VLOOKUP($A218,releases,3,FALSE)</f>
        <v>US</v>
      </c>
      <c r="G218" s="4" t="str">
        <f>VLOOKUP($A218,releases,8,FALSE)</f>
        <v>Stereo</v>
      </c>
      <c r="H218" s="4" t="str">
        <f>VLOOKUP($A218,releases,4,FALSE)</f>
        <v>Help! (Original Motion Picture Soundtrack)</v>
      </c>
    </row>
    <row r="219" spans="1:8" x14ac:dyDescent="0.25">
      <c r="A219" t="s">
        <v>41</v>
      </c>
      <c r="B219">
        <v>6</v>
      </c>
      <c r="C219" t="s">
        <v>217</v>
      </c>
      <c r="D219" t="s">
        <v>84</v>
      </c>
      <c r="E219" s="4">
        <f>VLOOKUP($A219,releases,2,FALSE)</f>
        <v>5</v>
      </c>
      <c r="F219" s="4" t="str">
        <f>VLOOKUP($A219,releases,3,FALSE)</f>
        <v>US</v>
      </c>
      <c r="G219" s="4" t="str">
        <f>VLOOKUP($A219,releases,8,FALSE)</f>
        <v>Stereo</v>
      </c>
      <c r="H219" s="4" t="str">
        <f>VLOOKUP($A219,releases,4,FALSE)</f>
        <v>Help! (Original Motion Picture Soundtrack)</v>
      </c>
    </row>
    <row r="220" spans="1:8" x14ac:dyDescent="0.25">
      <c r="A220" t="s">
        <v>41</v>
      </c>
      <c r="B220">
        <v>7</v>
      </c>
      <c r="C220" t="s">
        <v>206</v>
      </c>
      <c r="D220" t="s">
        <v>105</v>
      </c>
      <c r="E220" s="4">
        <f>VLOOKUP($A220,releases,2,FALSE)</f>
        <v>5</v>
      </c>
      <c r="F220" s="4" t="str">
        <f>VLOOKUP($A220,releases,3,FALSE)</f>
        <v>US</v>
      </c>
      <c r="G220" s="4" t="str">
        <f>VLOOKUP($A220,releases,8,FALSE)</f>
        <v>Stereo</v>
      </c>
      <c r="H220" s="4" t="str">
        <f>VLOOKUP($A220,releases,4,FALSE)</f>
        <v>Help! (Original Motion Picture Soundtrack)</v>
      </c>
    </row>
    <row r="221" spans="1:8" x14ac:dyDescent="0.25">
      <c r="A221" t="s">
        <v>41</v>
      </c>
      <c r="B221">
        <v>8</v>
      </c>
      <c r="C221" t="s">
        <v>218</v>
      </c>
      <c r="D221" t="s">
        <v>84</v>
      </c>
      <c r="E221" s="4">
        <f>VLOOKUP($A221,releases,2,FALSE)</f>
        <v>5</v>
      </c>
      <c r="F221" s="4" t="str">
        <f>VLOOKUP($A221,releases,3,FALSE)</f>
        <v>US</v>
      </c>
      <c r="G221" s="4" t="str">
        <f>VLOOKUP($A221,releases,8,FALSE)</f>
        <v>Stereo</v>
      </c>
      <c r="H221" s="4" t="str">
        <f>VLOOKUP($A221,releases,4,FALSE)</f>
        <v>Help! (Original Motion Picture Soundtrack)</v>
      </c>
    </row>
    <row r="222" spans="1:8" x14ac:dyDescent="0.25">
      <c r="A222" t="s">
        <v>41</v>
      </c>
      <c r="B222">
        <v>9</v>
      </c>
      <c r="C222" t="s">
        <v>208</v>
      </c>
      <c r="D222" t="s">
        <v>105</v>
      </c>
      <c r="E222" s="4">
        <f>VLOOKUP($A222,releases,2,FALSE)</f>
        <v>5</v>
      </c>
      <c r="F222" s="4" t="str">
        <f>VLOOKUP($A222,releases,3,FALSE)</f>
        <v>US</v>
      </c>
      <c r="G222" s="4" t="str">
        <f>VLOOKUP($A222,releases,8,FALSE)</f>
        <v>Stereo</v>
      </c>
      <c r="H222" s="4" t="str">
        <f>VLOOKUP($A222,releases,4,FALSE)</f>
        <v>Help! (Original Motion Picture Soundtrack)</v>
      </c>
    </row>
    <row r="223" spans="1:8" x14ac:dyDescent="0.25">
      <c r="A223" t="s">
        <v>41</v>
      </c>
      <c r="B223">
        <v>10</v>
      </c>
      <c r="C223" t="s">
        <v>219</v>
      </c>
      <c r="D223" t="s">
        <v>84</v>
      </c>
      <c r="E223" s="4">
        <f>VLOOKUP($A223,releases,2,FALSE)</f>
        <v>5</v>
      </c>
      <c r="F223" s="4" t="str">
        <f>VLOOKUP($A223,releases,3,FALSE)</f>
        <v>US</v>
      </c>
      <c r="G223" s="4" t="str">
        <f>VLOOKUP($A223,releases,8,FALSE)</f>
        <v>Stereo</v>
      </c>
      <c r="H223" s="4" t="str">
        <f>VLOOKUP($A223,releases,4,FALSE)</f>
        <v>Help! (Original Motion Picture Soundtrack)</v>
      </c>
    </row>
    <row r="224" spans="1:8" x14ac:dyDescent="0.25">
      <c r="A224" t="s">
        <v>41</v>
      </c>
      <c r="B224">
        <v>11</v>
      </c>
      <c r="C224" t="s">
        <v>207</v>
      </c>
      <c r="D224" t="s">
        <v>105</v>
      </c>
      <c r="E224" s="4">
        <f>VLOOKUP($A224,releases,2,FALSE)</f>
        <v>5</v>
      </c>
      <c r="F224" s="4" t="str">
        <f>VLOOKUP($A224,releases,3,FALSE)</f>
        <v>US</v>
      </c>
      <c r="G224" s="4" t="str">
        <f>VLOOKUP($A224,releases,8,FALSE)</f>
        <v>Stereo</v>
      </c>
      <c r="H224" s="4" t="str">
        <f>VLOOKUP($A224,releases,4,FALSE)</f>
        <v>Help! (Original Motion Picture Soundtrack)</v>
      </c>
    </row>
    <row r="225" spans="1:8" x14ac:dyDescent="0.25">
      <c r="A225" t="s">
        <v>41</v>
      </c>
      <c r="B225">
        <v>12</v>
      </c>
      <c r="C225" t="s">
        <v>220</v>
      </c>
      <c r="D225" t="s">
        <v>84</v>
      </c>
      <c r="E225" s="4">
        <f>VLOOKUP($A225,releases,2,FALSE)</f>
        <v>5</v>
      </c>
      <c r="F225" s="4" t="str">
        <f>VLOOKUP($A225,releases,3,FALSE)</f>
        <v>US</v>
      </c>
      <c r="G225" s="4" t="str">
        <f>VLOOKUP($A225,releases,8,FALSE)</f>
        <v>Stereo</v>
      </c>
      <c r="H225" s="4" t="str">
        <f>VLOOKUP($A225,releases,4,FALSE)</f>
        <v>Help! (Original Motion Picture Soundtrack)</v>
      </c>
    </row>
    <row r="226" spans="1:8" x14ac:dyDescent="0.25">
      <c r="A226" t="s">
        <v>38</v>
      </c>
      <c r="B226">
        <v>1</v>
      </c>
      <c r="C226" t="s">
        <v>37</v>
      </c>
      <c r="D226" t="s">
        <v>105</v>
      </c>
      <c r="E226" s="4">
        <f>VLOOKUP($A226,releases,2,FALSE)</f>
        <v>5</v>
      </c>
      <c r="F226" s="4" t="str">
        <f>VLOOKUP($A226,releases,3,FALSE)</f>
        <v>UK</v>
      </c>
      <c r="G226" s="4" t="str">
        <f>VLOOKUP($A226,releases,8,FALSE)</f>
        <v>Stereo</v>
      </c>
      <c r="H226" s="4" t="str">
        <f>VLOOKUP($A226,releases,4,FALSE)</f>
        <v>Help!</v>
      </c>
    </row>
    <row r="227" spans="1:8" x14ac:dyDescent="0.25">
      <c r="A227" t="s">
        <v>38</v>
      </c>
      <c r="B227">
        <v>2</v>
      </c>
      <c r="C227" t="s">
        <v>203</v>
      </c>
      <c r="D227" t="s">
        <v>105</v>
      </c>
      <c r="E227" s="4">
        <f>VLOOKUP($A227,releases,2,FALSE)</f>
        <v>5</v>
      </c>
      <c r="F227" s="4" t="str">
        <f>VLOOKUP($A227,releases,3,FALSE)</f>
        <v>UK</v>
      </c>
      <c r="G227" s="4" t="str">
        <f>VLOOKUP($A227,releases,8,FALSE)</f>
        <v>Stereo</v>
      </c>
      <c r="H227" s="4" t="str">
        <f>VLOOKUP($A227,releases,4,FALSE)</f>
        <v>Help!</v>
      </c>
    </row>
    <row r="228" spans="1:8" x14ac:dyDescent="0.25">
      <c r="A228" t="s">
        <v>38</v>
      </c>
      <c r="B228">
        <v>3</v>
      </c>
      <c r="C228" t="s">
        <v>204</v>
      </c>
      <c r="D228" t="s">
        <v>105</v>
      </c>
      <c r="E228" s="4">
        <f>VLOOKUP($A228,releases,2,FALSE)</f>
        <v>5</v>
      </c>
      <c r="F228" s="4" t="str">
        <f>VLOOKUP($A228,releases,3,FALSE)</f>
        <v>UK</v>
      </c>
      <c r="G228" s="4" t="str">
        <f>VLOOKUP($A228,releases,8,FALSE)</f>
        <v>Stereo</v>
      </c>
      <c r="H228" s="4" t="str">
        <f>VLOOKUP($A228,releases,4,FALSE)</f>
        <v>Help!</v>
      </c>
    </row>
    <row r="229" spans="1:8" x14ac:dyDescent="0.25">
      <c r="A229" t="s">
        <v>38</v>
      </c>
      <c r="B229">
        <v>4</v>
      </c>
      <c r="C229" t="s">
        <v>205</v>
      </c>
      <c r="D229" t="s">
        <v>110</v>
      </c>
      <c r="E229" s="4">
        <f>VLOOKUP($A229,releases,2,FALSE)</f>
        <v>5</v>
      </c>
      <c r="F229" s="4" t="str">
        <f>VLOOKUP($A229,releases,3,FALSE)</f>
        <v>UK</v>
      </c>
      <c r="G229" s="4" t="str">
        <f>VLOOKUP($A229,releases,8,FALSE)</f>
        <v>Stereo</v>
      </c>
      <c r="H229" s="4" t="str">
        <f>VLOOKUP($A229,releases,4,FALSE)</f>
        <v>Help!</v>
      </c>
    </row>
    <row r="230" spans="1:8" x14ac:dyDescent="0.25">
      <c r="A230" t="s">
        <v>38</v>
      </c>
      <c r="B230">
        <v>5</v>
      </c>
      <c r="C230" t="s">
        <v>206</v>
      </c>
      <c r="D230" t="s">
        <v>105</v>
      </c>
      <c r="E230" s="4">
        <f>VLOOKUP($A230,releases,2,FALSE)</f>
        <v>5</v>
      </c>
      <c r="F230" s="4" t="str">
        <f>VLOOKUP($A230,releases,3,FALSE)</f>
        <v>UK</v>
      </c>
      <c r="G230" s="4" t="str">
        <f>VLOOKUP($A230,releases,8,FALSE)</f>
        <v>Stereo</v>
      </c>
      <c r="H230" s="4" t="str">
        <f>VLOOKUP($A230,releases,4,FALSE)</f>
        <v>Help!</v>
      </c>
    </row>
    <row r="231" spans="1:8" x14ac:dyDescent="0.25">
      <c r="A231" t="s">
        <v>38</v>
      </c>
      <c r="B231">
        <v>6</v>
      </c>
      <c r="C231" t="s">
        <v>207</v>
      </c>
      <c r="D231" t="s">
        <v>105</v>
      </c>
      <c r="E231" s="4">
        <f>VLOOKUP($A231,releases,2,FALSE)</f>
        <v>5</v>
      </c>
      <c r="F231" s="4" t="str">
        <f>VLOOKUP($A231,releases,3,FALSE)</f>
        <v>UK</v>
      </c>
      <c r="G231" s="4" t="str">
        <f>VLOOKUP($A231,releases,8,FALSE)</f>
        <v>Stereo</v>
      </c>
      <c r="H231" s="4" t="str">
        <f>VLOOKUP($A231,releases,4,FALSE)</f>
        <v>Help!</v>
      </c>
    </row>
    <row r="232" spans="1:8" x14ac:dyDescent="0.25">
      <c r="A232" t="s">
        <v>38</v>
      </c>
      <c r="B232">
        <v>7</v>
      </c>
      <c r="C232" t="s">
        <v>208</v>
      </c>
      <c r="D232" t="s">
        <v>105</v>
      </c>
      <c r="E232" s="4">
        <f>VLOOKUP($A232,releases,2,FALSE)</f>
        <v>5</v>
      </c>
      <c r="F232" s="4" t="str">
        <f>VLOOKUP($A232,releases,3,FALSE)</f>
        <v>UK</v>
      </c>
      <c r="G232" s="4" t="str">
        <f>VLOOKUP($A232,releases,8,FALSE)</f>
        <v>Stereo</v>
      </c>
      <c r="H232" s="4" t="str">
        <f>VLOOKUP($A232,releases,4,FALSE)</f>
        <v>Help!</v>
      </c>
    </row>
    <row r="233" spans="1:8" x14ac:dyDescent="0.25">
      <c r="A233" t="s">
        <v>38</v>
      </c>
      <c r="B233">
        <v>8</v>
      </c>
      <c r="C233" t="s">
        <v>209</v>
      </c>
      <c r="D233" t="s">
        <v>210</v>
      </c>
      <c r="E233" s="4">
        <f>VLOOKUP($A233,releases,2,FALSE)</f>
        <v>5</v>
      </c>
      <c r="F233" s="4" t="str">
        <f>VLOOKUP($A233,releases,3,FALSE)</f>
        <v>UK</v>
      </c>
      <c r="G233" s="4" t="str">
        <f>VLOOKUP($A233,releases,8,FALSE)</f>
        <v>Stereo</v>
      </c>
      <c r="H233" s="4" t="str">
        <f>VLOOKUP($A233,releases,4,FALSE)</f>
        <v>Help!</v>
      </c>
    </row>
    <row r="234" spans="1:8" x14ac:dyDescent="0.25">
      <c r="A234" t="s">
        <v>38</v>
      </c>
      <c r="B234">
        <v>9</v>
      </c>
      <c r="C234" t="s">
        <v>122</v>
      </c>
      <c r="D234" t="s">
        <v>105</v>
      </c>
      <c r="E234" s="4">
        <f>VLOOKUP($A234,releases,2,FALSE)</f>
        <v>5</v>
      </c>
      <c r="F234" s="4" t="str">
        <f>VLOOKUP($A234,releases,3,FALSE)</f>
        <v>UK</v>
      </c>
      <c r="G234" s="4" t="str">
        <f>VLOOKUP($A234,releases,8,FALSE)</f>
        <v>Stereo</v>
      </c>
      <c r="H234" s="4" t="str">
        <f>VLOOKUP($A234,releases,4,FALSE)</f>
        <v>Help!</v>
      </c>
    </row>
    <row r="235" spans="1:8" x14ac:dyDescent="0.25">
      <c r="A235" t="s">
        <v>38</v>
      </c>
      <c r="B235">
        <v>10</v>
      </c>
      <c r="C235" t="s">
        <v>211</v>
      </c>
      <c r="D235" t="s">
        <v>110</v>
      </c>
      <c r="E235" s="4">
        <f>VLOOKUP($A235,releases,2,FALSE)</f>
        <v>5</v>
      </c>
      <c r="F235" s="4" t="str">
        <f>VLOOKUP($A235,releases,3,FALSE)</f>
        <v>UK</v>
      </c>
      <c r="G235" s="4" t="str">
        <f>VLOOKUP($A235,releases,8,FALSE)</f>
        <v>Stereo</v>
      </c>
      <c r="H235" s="4" t="str">
        <f>VLOOKUP($A235,releases,4,FALSE)</f>
        <v>Help!</v>
      </c>
    </row>
    <row r="236" spans="1:8" x14ac:dyDescent="0.25">
      <c r="A236" t="s">
        <v>38</v>
      </c>
      <c r="B236">
        <v>11</v>
      </c>
      <c r="C236" t="s">
        <v>212</v>
      </c>
      <c r="D236" t="s">
        <v>105</v>
      </c>
      <c r="E236" s="4">
        <f>VLOOKUP($A236,releases,2,FALSE)</f>
        <v>5</v>
      </c>
      <c r="F236" s="4" t="str">
        <f>VLOOKUP($A236,releases,3,FALSE)</f>
        <v>UK</v>
      </c>
      <c r="G236" s="4" t="str">
        <f>VLOOKUP($A236,releases,8,FALSE)</f>
        <v>Stereo</v>
      </c>
      <c r="H236" s="4" t="str">
        <f>VLOOKUP($A236,releases,4,FALSE)</f>
        <v>Help!</v>
      </c>
    </row>
    <row r="237" spans="1:8" x14ac:dyDescent="0.25">
      <c r="A237" t="s">
        <v>38</v>
      </c>
      <c r="B237">
        <v>12</v>
      </c>
      <c r="C237" t="s">
        <v>121</v>
      </c>
      <c r="D237" t="s">
        <v>105</v>
      </c>
      <c r="E237" s="4">
        <f>VLOOKUP($A237,releases,2,FALSE)</f>
        <v>5</v>
      </c>
      <c r="F237" s="4" t="str">
        <f>VLOOKUP($A237,releases,3,FALSE)</f>
        <v>UK</v>
      </c>
      <c r="G237" s="4" t="str">
        <f>VLOOKUP($A237,releases,8,FALSE)</f>
        <v>Stereo</v>
      </c>
      <c r="H237" s="4" t="str">
        <f>VLOOKUP($A237,releases,4,FALSE)</f>
        <v>Help!</v>
      </c>
    </row>
    <row r="238" spans="1:8" x14ac:dyDescent="0.25">
      <c r="A238" t="s">
        <v>38</v>
      </c>
      <c r="B238">
        <v>13</v>
      </c>
      <c r="C238" t="s">
        <v>213</v>
      </c>
      <c r="D238" t="s">
        <v>105</v>
      </c>
      <c r="E238" s="4">
        <f>VLOOKUP($A238,releases,2,FALSE)</f>
        <v>5</v>
      </c>
      <c r="F238" s="4" t="str">
        <f>VLOOKUP($A238,releases,3,FALSE)</f>
        <v>UK</v>
      </c>
      <c r="G238" s="4" t="str">
        <f>VLOOKUP($A238,releases,8,FALSE)</f>
        <v>Stereo</v>
      </c>
      <c r="H238" s="4" t="str">
        <f>VLOOKUP($A238,releases,4,FALSE)</f>
        <v>Help!</v>
      </c>
    </row>
    <row r="239" spans="1:8" x14ac:dyDescent="0.25">
      <c r="A239" t="s">
        <v>38</v>
      </c>
      <c r="B239">
        <v>14</v>
      </c>
      <c r="C239" t="s">
        <v>214</v>
      </c>
      <c r="D239" t="s">
        <v>215</v>
      </c>
      <c r="E239" s="4">
        <f>VLOOKUP($A239,releases,2,FALSE)</f>
        <v>5</v>
      </c>
      <c r="F239" s="4" t="str">
        <f>VLOOKUP($A239,releases,3,FALSE)</f>
        <v>UK</v>
      </c>
      <c r="G239" s="4" t="str">
        <f>VLOOKUP($A239,releases,8,FALSE)</f>
        <v>Stereo</v>
      </c>
      <c r="H239" s="4" t="str">
        <f>VLOOKUP($A239,releases,4,FALSE)</f>
        <v>Help!</v>
      </c>
    </row>
    <row r="240" spans="1:8" x14ac:dyDescent="0.25">
      <c r="A240" t="s">
        <v>36</v>
      </c>
      <c r="B240">
        <v>1</v>
      </c>
      <c r="C240" t="s">
        <v>37</v>
      </c>
      <c r="D240" t="s">
        <v>105</v>
      </c>
      <c r="E240" s="4">
        <f>VLOOKUP($A240,releases,2,FALSE)</f>
        <v>5</v>
      </c>
      <c r="F240" s="4" t="str">
        <f>VLOOKUP($A240,releases,3,FALSE)</f>
        <v>UK</v>
      </c>
      <c r="G240" s="4" t="str">
        <f>VLOOKUP($A240,releases,8,FALSE)</f>
        <v>Mono</v>
      </c>
      <c r="H240" s="4" t="str">
        <f>VLOOKUP($A240,releases,4,FALSE)</f>
        <v>Help!</v>
      </c>
    </row>
    <row r="241" spans="1:8" x14ac:dyDescent="0.25">
      <c r="A241" t="s">
        <v>36</v>
      </c>
      <c r="B241">
        <v>2</v>
      </c>
      <c r="C241" t="s">
        <v>203</v>
      </c>
      <c r="D241" t="s">
        <v>105</v>
      </c>
      <c r="E241" s="4">
        <f>VLOOKUP($A241,releases,2,FALSE)</f>
        <v>5</v>
      </c>
      <c r="F241" s="4" t="str">
        <f>VLOOKUP($A241,releases,3,FALSE)</f>
        <v>UK</v>
      </c>
      <c r="G241" s="4" t="str">
        <f>VLOOKUP($A241,releases,8,FALSE)</f>
        <v>Mono</v>
      </c>
      <c r="H241" s="4" t="str">
        <f>VLOOKUP($A241,releases,4,FALSE)</f>
        <v>Help!</v>
      </c>
    </row>
    <row r="242" spans="1:8" x14ac:dyDescent="0.25">
      <c r="A242" t="s">
        <v>36</v>
      </c>
      <c r="B242">
        <v>3</v>
      </c>
      <c r="C242" t="s">
        <v>204</v>
      </c>
      <c r="D242" t="s">
        <v>105</v>
      </c>
      <c r="E242" s="4">
        <f>VLOOKUP($A242,releases,2,FALSE)</f>
        <v>5</v>
      </c>
      <c r="F242" s="4" t="str">
        <f>VLOOKUP($A242,releases,3,FALSE)</f>
        <v>UK</v>
      </c>
      <c r="G242" s="4" t="str">
        <f>VLOOKUP($A242,releases,8,FALSE)</f>
        <v>Mono</v>
      </c>
      <c r="H242" s="4" t="str">
        <f>VLOOKUP($A242,releases,4,FALSE)</f>
        <v>Help!</v>
      </c>
    </row>
    <row r="243" spans="1:8" x14ac:dyDescent="0.25">
      <c r="A243" t="s">
        <v>36</v>
      </c>
      <c r="B243">
        <v>4</v>
      </c>
      <c r="C243" t="s">
        <v>205</v>
      </c>
      <c r="D243" t="s">
        <v>110</v>
      </c>
      <c r="E243" s="4">
        <f>VLOOKUP($A243,releases,2,FALSE)</f>
        <v>5</v>
      </c>
      <c r="F243" s="4" t="str">
        <f>VLOOKUP($A243,releases,3,FALSE)</f>
        <v>UK</v>
      </c>
      <c r="G243" s="4" t="str">
        <f>VLOOKUP($A243,releases,8,FALSE)</f>
        <v>Mono</v>
      </c>
      <c r="H243" s="4" t="str">
        <f>VLOOKUP($A243,releases,4,FALSE)</f>
        <v>Help!</v>
      </c>
    </row>
    <row r="244" spans="1:8" x14ac:dyDescent="0.25">
      <c r="A244" t="s">
        <v>36</v>
      </c>
      <c r="B244">
        <v>5</v>
      </c>
      <c r="C244" t="s">
        <v>206</v>
      </c>
      <c r="D244" t="s">
        <v>105</v>
      </c>
      <c r="E244" s="4">
        <f>VLOOKUP($A244,releases,2,FALSE)</f>
        <v>5</v>
      </c>
      <c r="F244" s="4" t="str">
        <f>VLOOKUP($A244,releases,3,FALSE)</f>
        <v>UK</v>
      </c>
      <c r="G244" s="4" t="str">
        <f>VLOOKUP($A244,releases,8,FALSE)</f>
        <v>Mono</v>
      </c>
      <c r="H244" s="4" t="str">
        <f>VLOOKUP($A244,releases,4,FALSE)</f>
        <v>Help!</v>
      </c>
    </row>
    <row r="245" spans="1:8" x14ac:dyDescent="0.25">
      <c r="A245" t="s">
        <v>36</v>
      </c>
      <c r="B245">
        <v>6</v>
      </c>
      <c r="C245" t="s">
        <v>207</v>
      </c>
      <c r="D245" t="s">
        <v>105</v>
      </c>
      <c r="E245" s="4">
        <f>VLOOKUP($A245,releases,2,FALSE)</f>
        <v>5</v>
      </c>
      <c r="F245" s="4" t="str">
        <f>VLOOKUP($A245,releases,3,FALSE)</f>
        <v>UK</v>
      </c>
      <c r="G245" s="4" t="str">
        <f>VLOOKUP($A245,releases,8,FALSE)</f>
        <v>Mono</v>
      </c>
      <c r="H245" s="4" t="str">
        <f>VLOOKUP($A245,releases,4,FALSE)</f>
        <v>Help!</v>
      </c>
    </row>
    <row r="246" spans="1:8" x14ac:dyDescent="0.25">
      <c r="A246" t="s">
        <v>36</v>
      </c>
      <c r="B246">
        <v>7</v>
      </c>
      <c r="C246" t="s">
        <v>208</v>
      </c>
      <c r="D246" t="s">
        <v>105</v>
      </c>
      <c r="E246" s="4">
        <f>VLOOKUP($A246,releases,2,FALSE)</f>
        <v>5</v>
      </c>
      <c r="F246" s="4" t="str">
        <f>VLOOKUP($A246,releases,3,FALSE)</f>
        <v>UK</v>
      </c>
      <c r="G246" s="4" t="str">
        <f>VLOOKUP($A246,releases,8,FALSE)</f>
        <v>Mono</v>
      </c>
      <c r="H246" s="4" t="str">
        <f>VLOOKUP($A246,releases,4,FALSE)</f>
        <v>Help!</v>
      </c>
    </row>
    <row r="247" spans="1:8" x14ac:dyDescent="0.25">
      <c r="A247" t="s">
        <v>36</v>
      </c>
      <c r="B247">
        <v>8</v>
      </c>
      <c r="C247" t="s">
        <v>209</v>
      </c>
      <c r="D247" t="s">
        <v>210</v>
      </c>
      <c r="E247" s="4">
        <f>VLOOKUP($A247,releases,2,FALSE)</f>
        <v>5</v>
      </c>
      <c r="F247" s="4" t="str">
        <f>VLOOKUP($A247,releases,3,FALSE)</f>
        <v>UK</v>
      </c>
      <c r="G247" s="4" t="str">
        <f>VLOOKUP($A247,releases,8,FALSE)</f>
        <v>Mono</v>
      </c>
      <c r="H247" s="4" t="str">
        <f>VLOOKUP($A247,releases,4,FALSE)</f>
        <v>Help!</v>
      </c>
    </row>
    <row r="248" spans="1:8" x14ac:dyDescent="0.25">
      <c r="A248" t="s">
        <v>36</v>
      </c>
      <c r="B248">
        <v>9</v>
      </c>
      <c r="C248" t="s">
        <v>122</v>
      </c>
      <c r="D248" t="s">
        <v>105</v>
      </c>
      <c r="E248" s="4">
        <f>VLOOKUP($A248,releases,2,FALSE)</f>
        <v>5</v>
      </c>
      <c r="F248" s="4" t="str">
        <f>VLOOKUP($A248,releases,3,FALSE)</f>
        <v>UK</v>
      </c>
      <c r="G248" s="4" t="str">
        <f>VLOOKUP($A248,releases,8,FALSE)</f>
        <v>Mono</v>
      </c>
      <c r="H248" s="4" t="str">
        <f>VLOOKUP($A248,releases,4,FALSE)</f>
        <v>Help!</v>
      </c>
    </row>
    <row r="249" spans="1:8" x14ac:dyDescent="0.25">
      <c r="A249" t="s">
        <v>36</v>
      </c>
      <c r="B249">
        <v>10</v>
      </c>
      <c r="C249" t="s">
        <v>211</v>
      </c>
      <c r="D249" t="s">
        <v>110</v>
      </c>
      <c r="E249" s="4">
        <f>VLOOKUP($A249,releases,2,FALSE)</f>
        <v>5</v>
      </c>
      <c r="F249" s="4" t="str">
        <f>VLOOKUP($A249,releases,3,FALSE)</f>
        <v>UK</v>
      </c>
      <c r="G249" s="4" t="str">
        <f>VLOOKUP($A249,releases,8,FALSE)</f>
        <v>Mono</v>
      </c>
      <c r="H249" s="4" t="str">
        <f>VLOOKUP($A249,releases,4,FALSE)</f>
        <v>Help!</v>
      </c>
    </row>
    <row r="250" spans="1:8" x14ac:dyDescent="0.25">
      <c r="A250" t="s">
        <v>36</v>
      </c>
      <c r="B250">
        <v>11</v>
      </c>
      <c r="C250" t="s">
        <v>212</v>
      </c>
      <c r="D250" t="s">
        <v>105</v>
      </c>
      <c r="E250" s="4">
        <f>VLOOKUP($A250,releases,2,FALSE)</f>
        <v>5</v>
      </c>
      <c r="F250" s="4" t="str">
        <f>VLOOKUP($A250,releases,3,FALSE)</f>
        <v>UK</v>
      </c>
      <c r="G250" s="4" t="str">
        <f>VLOOKUP($A250,releases,8,FALSE)</f>
        <v>Mono</v>
      </c>
      <c r="H250" s="4" t="str">
        <f>VLOOKUP($A250,releases,4,FALSE)</f>
        <v>Help!</v>
      </c>
    </row>
    <row r="251" spans="1:8" x14ac:dyDescent="0.25">
      <c r="A251" t="s">
        <v>36</v>
      </c>
      <c r="B251">
        <v>12</v>
      </c>
      <c r="C251" t="s">
        <v>121</v>
      </c>
      <c r="D251" t="s">
        <v>105</v>
      </c>
      <c r="E251" s="4">
        <f>VLOOKUP($A251,releases,2,FALSE)</f>
        <v>5</v>
      </c>
      <c r="F251" s="4" t="str">
        <f>VLOOKUP($A251,releases,3,FALSE)</f>
        <v>UK</v>
      </c>
      <c r="G251" s="4" t="str">
        <f>VLOOKUP($A251,releases,8,FALSE)</f>
        <v>Mono</v>
      </c>
      <c r="H251" s="4" t="str">
        <f>VLOOKUP($A251,releases,4,FALSE)</f>
        <v>Help!</v>
      </c>
    </row>
    <row r="252" spans="1:8" x14ac:dyDescent="0.25">
      <c r="A252" t="s">
        <v>36</v>
      </c>
      <c r="B252">
        <v>13</v>
      </c>
      <c r="C252" t="s">
        <v>213</v>
      </c>
      <c r="D252" t="s">
        <v>105</v>
      </c>
      <c r="E252" s="4">
        <f>VLOOKUP($A252,releases,2,FALSE)</f>
        <v>5</v>
      </c>
      <c r="F252" s="4" t="str">
        <f>VLOOKUP($A252,releases,3,FALSE)</f>
        <v>UK</v>
      </c>
      <c r="G252" s="4" t="str">
        <f>VLOOKUP($A252,releases,8,FALSE)</f>
        <v>Mono</v>
      </c>
      <c r="H252" s="4" t="str">
        <f>VLOOKUP($A252,releases,4,FALSE)</f>
        <v>Help!</v>
      </c>
    </row>
    <row r="253" spans="1:8" x14ac:dyDescent="0.25">
      <c r="A253" t="s">
        <v>36</v>
      </c>
      <c r="B253">
        <v>14</v>
      </c>
      <c r="C253" t="s">
        <v>214</v>
      </c>
      <c r="D253" t="s">
        <v>215</v>
      </c>
      <c r="E253" s="4">
        <f>VLOOKUP($A253,releases,2,FALSE)</f>
        <v>5</v>
      </c>
      <c r="F253" s="4" t="str">
        <f>VLOOKUP($A253,releases,3,FALSE)</f>
        <v>UK</v>
      </c>
      <c r="G253" s="4" t="str">
        <f>VLOOKUP($A253,releases,8,FALSE)</f>
        <v>Mono</v>
      </c>
      <c r="H253" s="4" t="str">
        <f>VLOOKUP($A253,releases,4,FALSE)</f>
        <v>Help!</v>
      </c>
    </row>
    <row r="254" spans="1:8" x14ac:dyDescent="0.25">
      <c r="A254" t="s">
        <v>46</v>
      </c>
      <c r="B254">
        <v>1</v>
      </c>
      <c r="C254" t="s">
        <v>121</v>
      </c>
      <c r="D254" t="s">
        <v>105</v>
      </c>
      <c r="E254" s="4">
        <f>VLOOKUP($A254,releases,2,FALSE)</f>
        <v>6</v>
      </c>
      <c r="F254" s="4" t="str">
        <f>VLOOKUP($A254,releases,3,FALSE)</f>
        <v>US</v>
      </c>
      <c r="G254" s="4" t="str">
        <f>VLOOKUP($A254,releases,8,FALSE)</f>
        <v>Stereo</v>
      </c>
      <c r="H254" s="4" t="str">
        <f>VLOOKUP($A254,releases,4,FALSE)</f>
        <v>Rubber Soul</v>
      </c>
    </row>
    <row r="255" spans="1:8" x14ac:dyDescent="0.25">
      <c r="A255" t="s">
        <v>46</v>
      </c>
      <c r="B255">
        <v>2</v>
      </c>
      <c r="C255" t="s">
        <v>106</v>
      </c>
      <c r="D255" t="s">
        <v>105</v>
      </c>
      <c r="E255" s="4">
        <f>VLOOKUP($A255,releases,2,FALSE)</f>
        <v>6</v>
      </c>
      <c r="F255" s="4" t="str">
        <f>VLOOKUP($A255,releases,3,FALSE)</f>
        <v>US</v>
      </c>
      <c r="G255" s="4" t="str">
        <f>VLOOKUP($A255,releases,8,FALSE)</f>
        <v>Stereo</v>
      </c>
      <c r="H255" s="4" t="str">
        <f>VLOOKUP($A255,releases,4,FALSE)</f>
        <v>Rubber Soul</v>
      </c>
    </row>
    <row r="256" spans="1:8" x14ac:dyDescent="0.25">
      <c r="A256" t="s">
        <v>46</v>
      </c>
      <c r="B256">
        <v>3</v>
      </c>
      <c r="C256" t="s">
        <v>107</v>
      </c>
      <c r="D256" t="s">
        <v>105</v>
      </c>
      <c r="E256" s="4">
        <f>VLOOKUP($A256,releases,2,FALSE)</f>
        <v>6</v>
      </c>
      <c r="F256" s="4" t="str">
        <f>VLOOKUP($A256,releases,3,FALSE)</f>
        <v>US</v>
      </c>
      <c r="G256" s="4" t="str">
        <f>VLOOKUP($A256,releases,8,FALSE)</f>
        <v>Stereo</v>
      </c>
      <c r="H256" s="4" t="str">
        <f>VLOOKUP($A256,releases,4,FALSE)</f>
        <v>Rubber Soul</v>
      </c>
    </row>
    <row r="257" spans="1:8" x14ac:dyDescent="0.25">
      <c r="A257" t="s">
        <v>46</v>
      </c>
      <c r="B257">
        <v>4</v>
      </c>
      <c r="C257" t="s">
        <v>109</v>
      </c>
      <c r="D257" t="s">
        <v>110</v>
      </c>
      <c r="E257" s="4">
        <f>VLOOKUP($A257,releases,2,FALSE)</f>
        <v>6</v>
      </c>
      <c r="F257" s="4" t="str">
        <f>VLOOKUP($A257,releases,3,FALSE)</f>
        <v>US</v>
      </c>
      <c r="G257" s="4" t="str">
        <f>VLOOKUP($A257,releases,8,FALSE)</f>
        <v>Stereo</v>
      </c>
      <c r="H257" s="4" t="str">
        <f>VLOOKUP($A257,releases,4,FALSE)</f>
        <v>Rubber Soul</v>
      </c>
    </row>
    <row r="258" spans="1:8" x14ac:dyDescent="0.25">
      <c r="A258" t="s">
        <v>46</v>
      </c>
      <c r="B258">
        <v>5</v>
      </c>
      <c r="C258" t="s">
        <v>111</v>
      </c>
      <c r="D258" t="s">
        <v>105</v>
      </c>
      <c r="E258" s="4">
        <f>VLOOKUP($A258,releases,2,FALSE)</f>
        <v>6</v>
      </c>
      <c r="F258" s="4" t="str">
        <f>VLOOKUP($A258,releases,3,FALSE)</f>
        <v>US</v>
      </c>
      <c r="G258" s="4" t="str">
        <f>VLOOKUP($A258,releases,8,FALSE)</f>
        <v>Stereo</v>
      </c>
      <c r="H258" s="4" t="str">
        <f>VLOOKUP($A258,releases,4,FALSE)</f>
        <v>Rubber Soul</v>
      </c>
    </row>
    <row r="259" spans="1:8" x14ac:dyDescent="0.25">
      <c r="A259" t="s">
        <v>46</v>
      </c>
      <c r="B259">
        <v>6</v>
      </c>
      <c r="C259" t="s">
        <v>112</v>
      </c>
      <c r="D259" t="s">
        <v>105</v>
      </c>
      <c r="E259" s="4">
        <f>VLOOKUP($A259,releases,2,FALSE)</f>
        <v>6</v>
      </c>
      <c r="F259" s="4" t="str">
        <f>VLOOKUP($A259,releases,3,FALSE)</f>
        <v>US</v>
      </c>
      <c r="G259" s="4" t="str">
        <f>VLOOKUP($A259,releases,8,FALSE)</f>
        <v>Stereo</v>
      </c>
      <c r="H259" s="4" t="str">
        <f>VLOOKUP($A259,releases,4,FALSE)</f>
        <v>Rubber Soul</v>
      </c>
    </row>
    <row r="260" spans="1:8" x14ac:dyDescent="0.25">
      <c r="A260" t="s">
        <v>46</v>
      </c>
      <c r="B260">
        <v>7</v>
      </c>
      <c r="C260" t="s">
        <v>122</v>
      </c>
      <c r="D260" t="s">
        <v>105</v>
      </c>
      <c r="E260" s="4">
        <f>VLOOKUP($A260,releases,2,FALSE)</f>
        <v>6</v>
      </c>
      <c r="F260" s="4" t="str">
        <f>VLOOKUP($A260,releases,3,FALSE)</f>
        <v>US</v>
      </c>
      <c r="G260" s="4" t="str">
        <f>VLOOKUP($A260,releases,8,FALSE)</f>
        <v>Stereo</v>
      </c>
      <c r="H260" s="4" t="str">
        <f>VLOOKUP($A260,releases,4,FALSE)</f>
        <v>Rubber Soul</v>
      </c>
    </row>
    <row r="261" spans="1:8" x14ac:dyDescent="0.25">
      <c r="A261" t="s">
        <v>46</v>
      </c>
      <c r="B261">
        <v>8</v>
      </c>
      <c r="C261" t="s">
        <v>115</v>
      </c>
      <c r="D261" t="s">
        <v>105</v>
      </c>
      <c r="E261" s="4">
        <f>VLOOKUP($A261,releases,2,FALSE)</f>
        <v>6</v>
      </c>
      <c r="F261" s="4" t="str">
        <f>VLOOKUP($A261,releases,3,FALSE)</f>
        <v>US</v>
      </c>
      <c r="G261" s="4" t="str">
        <f>VLOOKUP($A261,releases,8,FALSE)</f>
        <v>Stereo</v>
      </c>
      <c r="H261" s="4" t="str">
        <f>VLOOKUP($A261,releases,4,FALSE)</f>
        <v>Rubber Soul</v>
      </c>
    </row>
    <row r="262" spans="1:8" x14ac:dyDescent="0.25">
      <c r="A262" t="s">
        <v>46</v>
      </c>
      <c r="B262">
        <v>9</v>
      </c>
      <c r="C262" t="s">
        <v>116</v>
      </c>
      <c r="D262" t="s">
        <v>105</v>
      </c>
      <c r="E262" s="4">
        <f>VLOOKUP($A262,releases,2,FALSE)</f>
        <v>6</v>
      </c>
      <c r="F262" s="4" t="str">
        <f>VLOOKUP($A262,releases,3,FALSE)</f>
        <v>US</v>
      </c>
      <c r="G262" s="4" t="str">
        <f>VLOOKUP($A262,releases,8,FALSE)</f>
        <v>Stereo</v>
      </c>
      <c r="H262" s="4" t="str">
        <f>VLOOKUP($A262,releases,4,FALSE)</f>
        <v>Rubber Soul</v>
      </c>
    </row>
    <row r="263" spans="1:8" x14ac:dyDescent="0.25">
      <c r="A263" t="s">
        <v>46</v>
      </c>
      <c r="B263">
        <v>10</v>
      </c>
      <c r="C263" t="s">
        <v>117</v>
      </c>
      <c r="D263" t="s">
        <v>105</v>
      </c>
      <c r="E263" s="4">
        <f>VLOOKUP($A263,releases,2,FALSE)</f>
        <v>6</v>
      </c>
      <c r="F263" s="4" t="str">
        <f>VLOOKUP($A263,releases,3,FALSE)</f>
        <v>US</v>
      </c>
      <c r="G263" s="4" t="str">
        <f>VLOOKUP($A263,releases,8,FALSE)</f>
        <v>Stereo</v>
      </c>
      <c r="H263" s="4" t="str">
        <f>VLOOKUP($A263,releases,4,FALSE)</f>
        <v>Rubber Soul</v>
      </c>
    </row>
    <row r="264" spans="1:8" x14ac:dyDescent="0.25">
      <c r="A264" t="s">
        <v>46</v>
      </c>
      <c r="B264">
        <v>11</v>
      </c>
      <c r="C264" t="s">
        <v>118</v>
      </c>
      <c r="D264" t="s">
        <v>105</v>
      </c>
      <c r="E264" s="4">
        <f>VLOOKUP($A264,releases,2,FALSE)</f>
        <v>6</v>
      </c>
      <c r="F264" s="4" t="str">
        <f>VLOOKUP($A264,releases,3,FALSE)</f>
        <v>US</v>
      </c>
      <c r="G264" s="4" t="str">
        <f>VLOOKUP($A264,releases,8,FALSE)</f>
        <v>Stereo</v>
      </c>
      <c r="H264" s="4" t="str">
        <f>VLOOKUP($A264,releases,4,FALSE)</f>
        <v>Rubber Soul</v>
      </c>
    </row>
    <row r="265" spans="1:8" x14ac:dyDescent="0.25">
      <c r="A265" t="s">
        <v>46</v>
      </c>
      <c r="B265">
        <v>12</v>
      </c>
      <c r="C265" t="s">
        <v>120</v>
      </c>
      <c r="D265" t="s">
        <v>105</v>
      </c>
      <c r="E265" s="4">
        <f>VLOOKUP($A265,releases,2,FALSE)</f>
        <v>6</v>
      </c>
      <c r="F265" s="4" t="str">
        <f>VLOOKUP($A265,releases,3,FALSE)</f>
        <v>US</v>
      </c>
      <c r="G265" s="4" t="str">
        <f>VLOOKUP($A265,releases,8,FALSE)</f>
        <v>Stereo</v>
      </c>
      <c r="H265" s="4" t="str">
        <f>VLOOKUP($A265,releases,4,FALSE)</f>
        <v>Rubber Soul</v>
      </c>
    </row>
    <row r="266" spans="1:8" x14ac:dyDescent="0.25">
      <c r="A266" t="s">
        <v>45</v>
      </c>
      <c r="B266">
        <v>1</v>
      </c>
      <c r="C266" t="s">
        <v>121</v>
      </c>
      <c r="D266" t="s">
        <v>105</v>
      </c>
      <c r="E266" s="4">
        <f>VLOOKUP($A266,releases,2,FALSE)</f>
        <v>6</v>
      </c>
      <c r="F266" s="4" t="str">
        <f>VLOOKUP($A266,releases,3,FALSE)</f>
        <v>US</v>
      </c>
      <c r="G266" s="4" t="str">
        <f>VLOOKUP($A266,releases,8,FALSE)</f>
        <v>Mono</v>
      </c>
      <c r="H266" s="4" t="str">
        <f>VLOOKUP($A266,releases,4,FALSE)</f>
        <v>Rubber Soul</v>
      </c>
    </row>
    <row r="267" spans="1:8" x14ac:dyDescent="0.25">
      <c r="A267" t="s">
        <v>45</v>
      </c>
      <c r="B267">
        <v>2</v>
      </c>
      <c r="C267" t="s">
        <v>106</v>
      </c>
      <c r="D267" t="s">
        <v>105</v>
      </c>
      <c r="E267" s="4">
        <f>VLOOKUP($A267,releases,2,FALSE)</f>
        <v>6</v>
      </c>
      <c r="F267" s="4" t="str">
        <f>VLOOKUP($A267,releases,3,FALSE)</f>
        <v>US</v>
      </c>
      <c r="G267" s="4" t="str">
        <f>VLOOKUP($A267,releases,8,FALSE)</f>
        <v>Mono</v>
      </c>
      <c r="H267" s="4" t="str">
        <f>VLOOKUP($A267,releases,4,FALSE)</f>
        <v>Rubber Soul</v>
      </c>
    </row>
    <row r="268" spans="1:8" x14ac:dyDescent="0.25">
      <c r="A268" t="s">
        <v>45</v>
      </c>
      <c r="B268">
        <v>3</v>
      </c>
      <c r="C268" t="s">
        <v>107</v>
      </c>
      <c r="D268" t="s">
        <v>105</v>
      </c>
      <c r="E268" s="4">
        <f>VLOOKUP($A268,releases,2,FALSE)</f>
        <v>6</v>
      </c>
      <c r="F268" s="4" t="str">
        <f>VLOOKUP($A268,releases,3,FALSE)</f>
        <v>US</v>
      </c>
      <c r="G268" s="4" t="str">
        <f>VLOOKUP($A268,releases,8,FALSE)</f>
        <v>Mono</v>
      </c>
      <c r="H268" s="4" t="str">
        <f>VLOOKUP($A268,releases,4,FALSE)</f>
        <v>Rubber Soul</v>
      </c>
    </row>
    <row r="269" spans="1:8" x14ac:dyDescent="0.25">
      <c r="A269" t="s">
        <v>45</v>
      </c>
      <c r="B269">
        <v>4</v>
      </c>
      <c r="C269" t="s">
        <v>109</v>
      </c>
      <c r="D269" t="s">
        <v>110</v>
      </c>
      <c r="E269" s="4">
        <f>VLOOKUP($A269,releases,2,FALSE)</f>
        <v>6</v>
      </c>
      <c r="F269" s="4" t="str">
        <f>VLOOKUP($A269,releases,3,FALSE)</f>
        <v>US</v>
      </c>
      <c r="G269" s="4" t="str">
        <f>VLOOKUP($A269,releases,8,FALSE)</f>
        <v>Mono</v>
      </c>
      <c r="H269" s="4" t="str">
        <f>VLOOKUP($A269,releases,4,FALSE)</f>
        <v>Rubber Soul</v>
      </c>
    </row>
    <row r="270" spans="1:8" x14ac:dyDescent="0.25">
      <c r="A270" t="s">
        <v>45</v>
      </c>
      <c r="B270">
        <v>5</v>
      </c>
      <c r="C270" t="s">
        <v>111</v>
      </c>
      <c r="D270" t="s">
        <v>105</v>
      </c>
      <c r="E270" s="4">
        <f>VLOOKUP($A270,releases,2,FALSE)</f>
        <v>6</v>
      </c>
      <c r="F270" s="4" t="str">
        <f>VLOOKUP($A270,releases,3,FALSE)</f>
        <v>US</v>
      </c>
      <c r="G270" s="4" t="str">
        <f>VLOOKUP($A270,releases,8,FALSE)</f>
        <v>Mono</v>
      </c>
      <c r="H270" s="4" t="str">
        <f>VLOOKUP($A270,releases,4,FALSE)</f>
        <v>Rubber Soul</v>
      </c>
    </row>
    <row r="271" spans="1:8" x14ac:dyDescent="0.25">
      <c r="A271" t="s">
        <v>45</v>
      </c>
      <c r="B271">
        <v>6</v>
      </c>
      <c r="C271" t="s">
        <v>112</v>
      </c>
      <c r="D271" t="s">
        <v>105</v>
      </c>
      <c r="E271" s="4">
        <f>VLOOKUP($A271,releases,2,FALSE)</f>
        <v>6</v>
      </c>
      <c r="F271" s="4" t="str">
        <f>VLOOKUP($A271,releases,3,FALSE)</f>
        <v>US</v>
      </c>
      <c r="G271" s="4" t="str">
        <f>VLOOKUP($A271,releases,8,FALSE)</f>
        <v>Mono</v>
      </c>
      <c r="H271" s="4" t="str">
        <f>VLOOKUP($A271,releases,4,FALSE)</f>
        <v>Rubber Soul</v>
      </c>
    </row>
    <row r="272" spans="1:8" x14ac:dyDescent="0.25">
      <c r="A272" t="s">
        <v>45</v>
      </c>
      <c r="B272">
        <v>7</v>
      </c>
      <c r="C272" t="s">
        <v>122</v>
      </c>
      <c r="D272" t="s">
        <v>105</v>
      </c>
      <c r="E272" s="4">
        <f>VLOOKUP($A272,releases,2,FALSE)</f>
        <v>6</v>
      </c>
      <c r="F272" s="4" t="str">
        <f>VLOOKUP($A272,releases,3,FALSE)</f>
        <v>US</v>
      </c>
      <c r="G272" s="4" t="str">
        <f>VLOOKUP($A272,releases,8,FALSE)</f>
        <v>Mono</v>
      </c>
      <c r="H272" s="4" t="str">
        <f>VLOOKUP($A272,releases,4,FALSE)</f>
        <v>Rubber Soul</v>
      </c>
    </row>
    <row r="273" spans="1:8" x14ac:dyDescent="0.25">
      <c r="A273" t="s">
        <v>45</v>
      </c>
      <c r="B273">
        <v>8</v>
      </c>
      <c r="C273" t="s">
        <v>115</v>
      </c>
      <c r="D273" t="s">
        <v>105</v>
      </c>
      <c r="E273" s="4">
        <f>VLOOKUP($A273,releases,2,FALSE)</f>
        <v>6</v>
      </c>
      <c r="F273" s="4" t="str">
        <f>VLOOKUP($A273,releases,3,FALSE)</f>
        <v>US</v>
      </c>
      <c r="G273" s="4" t="str">
        <f>VLOOKUP($A273,releases,8,FALSE)</f>
        <v>Mono</v>
      </c>
      <c r="H273" s="4" t="str">
        <f>VLOOKUP($A273,releases,4,FALSE)</f>
        <v>Rubber Soul</v>
      </c>
    </row>
    <row r="274" spans="1:8" x14ac:dyDescent="0.25">
      <c r="A274" t="s">
        <v>45</v>
      </c>
      <c r="B274">
        <v>9</v>
      </c>
      <c r="C274" t="s">
        <v>116</v>
      </c>
      <c r="D274" t="s">
        <v>105</v>
      </c>
      <c r="E274" s="4">
        <f>VLOOKUP($A274,releases,2,FALSE)</f>
        <v>6</v>
      </c>
      <c r="F274" s="4" t="str">
        <f>VLOOKUP($A274,releases,3,FALSE)</f>
        <v>US</v>
      </c>
      <c r="G274" s="4" t="str">
        <f>VLOOKUP($A274,releases,8,FALSE)</f>
        <v>Mono</v>
      </c>
      <c r="H274" s="4" t="str">
        <f>VLOOKUP($A274,releases,4,FALSE)</f>
        <v>Rubber Soul</v>
      </c>
    </row>
    <row r="275" spans="1:8" x14ac:dyDescent="0.25">
      <c r="A275" t="s">
        <v>45</v>
      </c>
      <c r="B275">
        <v>10</v>
      </c>
      <c r="C275" t="s">
        <v>117</v>
      </c>
      <c r="D275" t="s">
        <v>105</v>
      </c>
      <c r="E275" s="4">
        <f>VLOOKUP($A275,releases,2,FALSE)</f>
        <v>6</v>
      </c>
      <c r="F275" s="4" t="str">
        <f>VLOOKUP($A275,releases,3,FALSE)</f>
        <v>US</v>
      </c>
      <c r="G275" s="4" t="str">
        <f>VLOOKUP($A275,releases,8,FALSE)</f>
        <v>Mono</v>
      </c>
      <c r="H275" s="4" t="str">
        <f>VLOOKUP($A275,releases,4,FALSE)</f>
        <v>Rubber Soul</v>
      </c>
    </row>
    <row r="276" spans="1:8" x14ac:dyDescent="0.25">
      <c r="A276" t="s">
        <v>45</v>
      </c>
      <c r="B276">
        <v>11</v>
      </c>
      <c r="C276" t="s">
        <v>118</v>
      </c>
      <c r="D276" t="s">
        <v>105</v>
      </c>
      <c r="E276" s="4">
        <f>VLOOKUP($A276,releases,2,FALSE)</f>
        <v>6</v>
      </c>
      <c r="F276" s="4" t="str">
        <f>VLOOKUP($A276,releases,3,FALSE)</f>
        <v>US</v>
      </c>
      <c r="G276" s="4" t="str">
        <f>VLOOKUP($A276,releases,8,FALSE)</f>
        <v>Mono</v>
      </c>
      <c r="H276" s="4" t="str">
        <f>VLOOKUP($A276,releases,4,FALSE)</f>
        <v>Rubber Soul</v>
      </c>
    </row>
    <row r="277" spans="1:8" x14ac:dyDescent="0.25">
      <c r="A277" t="s">
        <v>45</v>
      </c>
      <c r="B277">
        <v>12</v>
      </c>
      <c r="C277" t="s">
        <v>120</v>
      </c>
      <c r="D277" t="s">
        <v>105</v>
      </c>
      <c r="E277" s="4">
        <f>VLOOKUP($A277,releases,2,FALSE)</f>
        <v>6</v>
      </c>
      <c r="F277" s="4" t="str">
        <f>VLOOKUP($A277,releases,3,FALSE)</f>
        <v>US</v>
      </c>
      <c r="G277" s="4" t="str">
        <f>VLOOKUP($A277,releases,8,FALSE)</f>
        <v>Mono</v>
      </c>
      <c r="H277" s="4" t="str">
        <f>VLOOKUP($A277,releases,4,FALSE)</f>
        <v>Rubber Soul</v>
      </c>
    </row>
    <row r="278" spans="1:8" x14ac:dyDescent="0.25">
      <c r="A278" t="s">
        <v>44</v>
      </c>
      <c r="B278">
        <v>1</v>
      </c>
      <c r="C278" t="s">
        <v>104</v>
      </c>
      <c r="D278" t="s">
        <v>105</v>
      </c>
      <c r="E278" s="4">
        <f>VLOOKUP($A278,releases,2,FALSE)</f>
        <v>6</v>
      </c>
      <c r="F278" s="4" t="str">
        <f>VLOOKUP($A278,releases,3,FALSE)</f>
        <v>UK</v>
      </c>
      <c r="G278" s="4" t="str">
        <f>VLOOKUP($A278,releases,8,FALSE)</f>
        <v>Stereo</v>
      </c>
      <c r="H278" s="4" t="str">
        <f>VLOOKUP($A278,releases,4,FALSE)</f>
        <v>Rubber Soul</v>
      </c>
    </row>
    <row r="279" spans="1:8" x14ac:dyDescent="0.25">
      <c r="A279" t="s">
        <v>44</v>
      </c>
      <c r="B279">
        <v>2</v>
      </c>
      <c r="C279" t="s">
        <v>106</v>
      </c>
      <c r="D279" t="s">
        <v>105</v>
      </c>
      <c r="E279" s="4">
        <f>VLOOKUP($A279,releases,2,FALSE)</f>
        <v>6</v>
      </c>
      <c r="F279" s="4" t="str">
        <f>VLOOKUP($A279,releases,3,FALSE)</f>
        <v>UK</v>
      </c>
      <c r="G279" s="4" t="str">
        <f>VLOOKUP($A279,releases,8,FALSE)</f>
        <v>Stereo</v>
      </c>
      <c r="H279" s="4" t="str">
        <f>VLOOKUP($A279,releases,4,FALSE)</f>
        <v>Rubber Soul</v>
      </c>
    </row>
    <row r="280" spans="1:8" x14ac:dyDescent="0.25">
      <c r="A280" t="s">
        <v>44</v>
      </c>
      <c r="B280">
        <v>3</v>
      </c>
      <c r="C280" t="s">
        <v>107</v>
      </c>
      <c r="D280" t="s">
        <v>105</v>
      </c>
      <c r="E280" s="4">
        <f>VLOOKUP($A280,releases,2,FALSE)</f>
        <v>6</v>
      </c>
      <c r="F280" s="4" t="str">
        <f>VLOOKUP($A280,releases,3,FALSE)</f>
        <v>UK</v>
      </c>
      <c r="G280" s="4" t="str">
        <f>VLOOKUP($A280,releases,8,FALSE)</f>
        <v>Stereo</v>
      </c>
      <c r="H280" s="4" t="str">
        <f>VLOOKUP($A280,releases,4,FALSE)</f>
        <v>Rubber Soul</v>
      </c>
    </row>
    <row r="281" spans="1:8" x14ac:dyDescent="0.25">
      <c r="A281" t="s">
        <v>44</v>
      </c>
      <c r="B281">
        <v>4</v>
      </c>
      <c r="C281" t="s">
        <v>108</v>
      </c>
      <c r="D281" t="s">
        <v>105</v>
      </c>
      <c r="E281" s="4">
        <f>VLOOKUP($A281,releases,2,FALSE)</f>
        <v>6</v>
      </c>
      <c r="F281" s="4" t="str">
        <f>VLOOKUP($A281,releases,3,FALSE)</f>
        <v>UK</v>
      </c>
      <c r="G281" s="4" t="str">
        <f>VLOOKUP($A281,releases,8,FALSE)</f>
        <v>Stereo</v>
      </c>
      <c r="H281" s="4" t="str">
        <f>VLOOKUP($A281,releases,4,FALSE)</f>
        <v>Rubber Soul</v>
      </c>
    </row>
    <row r="282" spans="1:8" x14ac:dyDescent="0.25">
      <c r="A282" t="s">
        <v>44</v>
      </c>
      <c r="B282">
        <v>5</v>
      </c>
      <c r="C282" t="s">
        <v>109</v>
      </c>
      <c r="D282" t="s">
        <v>110</v>
      </c>
      <c r="E282" s="4">
        <f>VLOOKUP($A282,releases,2,FALSE)</f>
        <v>6</v>
      </c>
      <c r="F282" s="4" t="str">
        <f>VLOOKUP($A282,releases,3,FALSE)</f>
        <v>UK</v>
      </c>
      <c r="G282" s="4" t="str">
        <f>VLOOKUP($A282,releases,8,FALSE)</f>
        <v>Stereo</v>
      </c>
      <c r="H282" s="4" t="str">
        <f>VLOOKUP($A282,releases,4,FALSE)</f>
        <v>Rubber Soul</v>
      </c>
    </row>
    <row r="283" spans="1:8" x14ac:dyDescent="0.25">
      <c r="A283" t="s">
        <v>44</v>
      </c>
      <c r="B283">
        <v>6</v>
      </c>
      <c r="C283" t="s">
        <v>111</v>
      </c>
      <c r="D283" t="s">
        <v>105</v>
      </c>
      <c r="E283" s="4">
        <f>VLOOKUP($A283,releases,2,FALSE)</f>
        <v>6</v>
      </c>
      <c r="F283" s="4" t="str">
        <f>VLOOKUP($A283,releases,3,FALSE)</f>
        <v>UK</v>
      </c>
      <c r="G283" s="4" t="str">
        <f>VLOOKUP($A283,releases,8,FALSE)</f>
        <v>Stereo</v>
      </c>
      <c r="H283" s="4" t="str">
        <f>VLOOKUP($A283,releases,4,FALSE)</f>
        <v>Rubber Soul</v>
      </c>
    </row>
    <row r="284" spans="1:8" x14ac:dyDescent="0.25">
      <c r="A284" t="s">
        <v>44</v>
      </c>
      <c r="B284">
        <v>7</v>
      </c>
      <c r="C284" t="s">
        <v>112</v>
      </c>
      <c r="D284" t="s">
        <v>105</v>
      </c>
      <c r="E284" s="4">
        <f>VLOOKUP($A284,releases,2,FALSE)</f>
        <v>6</v>
      </c>
      <c r="F284" s="4" t="str">
        <f>VLOOKUP($A284,releases,3,FALSE)</f>
        <v>UK</v>
      </c>
      <c r="G284" s="4" t="str">
        <f>VLOOKUP($A284,releases,8,FALSE)</f>
        <v>Stereo</v>
      </c>
      <c r="H284" s="4" t="str">
        <f>VLOOKUP($A284,releases,4,FALSE)</f>
        <v>Rubber Soul</v>
      </c>
    </row>
    <row r="285" spans="1:8" x14ac:dyDescent="0.25">
      <c r="A285" t="s">
        <v>44</v>
      </c>
      <c r="B285">
        <v>8</v>
      </c>
      <c r="C285" t="s">
        <v>113</v>
      </c>
      <c r="D285" t="s">
        <v>114</v>
      </c>
      <c r="E285" s="4">
        <f>VLOOKUP($A285,releases,2,FALSE)</f>
        <v>6</v>
      </c>
      <c r="F285" s="4" t="str">
        <f>VLOOKUP($A285,releases,3,FALSE)</f>
        <v>UK</v>
      </c>
      <c r="G285" s="4" t="str">
        <f>VLOOKUP($A285,releases,8,FALSE)</f>
        <v>Stereo</v>
      </c>
      <c r="H285" s="4" t="str">
        <f>VLOOKUP($A285,releases,4,FALSE)</f>
        <v>Rubber Soul</v>
      </c>
    </row>
    <row r="286" spans="1:8" x14ac:dyDescent="0.25">
      <c r="A286" t="s">
        <v>44</v>
      </c>
      <c r="B286">
        <v>9</v>
      </c>
      <c r="C286" t="s">
        <v>115</v>
      </c>
      <c r="D286" t="s">
        <v>105</v>
      </c>
      <c r="E286" s="4">
        <f>VLOOKUP($A286,releases,2,FALSE)</f>
        <v>6</v>
      </c>
      <c r="F286" s="4" t="str">
        <f>VLOOKUP($A286,releases,3,FALSE)</f>
        <v>UK</v>
      </c>
      <c r="G286" s="4" t="str">
        <f>VLOOKUP($A286,releases,8,FALSE)</f>
        <v>Stereo</v>
      </c>
      <c r="H286" s="4" t="str">
        <f>VLOOKUP($A286,releases,4,FALSE)</f>
        <v>Rubber Soul</v>
      </c>
    </row>
    <row r="287" spans="1:8" x14ac:dyDescent="0.25">
      <c r="A287" t="s">
        <v>44</v>
      </c>
      <c r="B287">
        <v>10</v>
      </c>
      <c r="C287" t="s">
        <v>116</v>
      </c>
      <c r="D287" t="s">
        <v>105</v>
      </c>
      <c r="E287" s="4">
        <f>VLOOKUP($A287,releases,2,FALSE)</f>
        <v>6</v>
      </c>
      <c r="F287" s="4" t="str">
        <f>VLOOKUP($A287,releases,3,FALSE)</f>
        <v>UK</v>
      </c>
      <c r="G287" s="4" t="str">
        <f>VLOOKUP($A287,releases,8,FALSE)</f>
        <v>Stereo</v>
      </c>
      <c r="H287" s="4" t="str">
        <f>VLOOKUP($A287,releases,4,FALSE)</f>
        <v>Rubber Soul</v>
      </c>
    </row>
    <row r="288" spans="1:8" x14ac:dyDescent="0.25">
      <c r="A288" t="s">
        <v>44</v>
      </c>
      <c r="B288">
        <v>11</v>
      </c>
      <c r="C288" t="s">
        <v>117</v>
      </c>
      <c r="D288" t="s">
        <v>105</v>
      </c>
      <c r="E288" s="4">
        <f>VLOOKUP($A288,releases,2,FALSE)</f>
        <v>6</v>
      </c>
      <c r="F288" s="4" t="str">
        <f>VLOOKUP($A288,releases,3,FALSE)</f>
        <v>UK</v>
      </c>
      <c r="G288" s="4" t="str">
        <f>VLOOKUP($A288,releases,8,FALSE)</f>
        <v>Stereo</v>
      </c>
      <c r="H288" s="4" t="str">
        <f>VLOOKUP($A288,releases,4,FALSE)</f>
        <v>Rubber Soul</v>
      </c>
    </row>
    <row r="289" spans="1:8" x14ac:dyDescent="0.25">
      <c r="A289" t="s">
        <v>44</v>
      </c>
      <c r="B289">
        <v>12</v>
      </c>
      <c r="C289" t="s">
        <v>118</v>
      </c>
      <c r="D289" t="s">
        <v>105</v>
      </c>
      <c r="E289" s="4">
        <f>VLOOKUP($A289,releases,2,FALSE)</f>
        <v>6</v>
      </c>
      <c r="F289" s="4" t="str">
        <f>VLOOKUP($A289,releases,3,FALSE)</f>
        <v>UK</v>
      </c>
      <c r="G289" s="4" t="str">
        <f>VLOOKUP($A289,releases,8,FALSE)</f>
        <v>Stereo</v>
      </c>
      <c r="H289" s="4" t="str">
        <f>VLOOKUP($A289,releases,4,FALSE)</f>
        <v>Rubber Soul</v>
      </c>
    </row>
    <row r="290" spans="1:8" x14ac:dyDescent="0.25">
      <c r="A290" t="s">
        <v>44</v>
      </c>
      <c r="B290">
        <v>13</v>
      </c>
      <c r="C290" t="s">
        <v>119</v>
      </c>
      <c r="D290" t="s">
        <v>110</v>
      </c>
      <c r="E290" s="4">
        <f>VLOOKUP($A290,releases,2,FALSE)</f>
        <v>6</v>
      </c>
      <c r="F290" s="4" t="str">
        <f>VLOOKUP($A290,releases,3,FALSE)</f>
        <v>UK</v>
      </c>
      <c r="G290" s="4" t="str">
        <f>VLOOKUP($A290,releases,8,FALSE)</f>
        <v>Stereo</v>
      </c>
      <c r="H290" s="4" t="str">
        <f>VLOOKUP($A290,releases,4,FALSE)</f>
        <v>Rubber Soul</v>
      </c>
    </row>
    <row r="291" spans="1:8" x14ac:dyDescent="0.25">
      <c r="A291" t="s">
        <v>44</v>
      </c>
      <c r="B291">
        <v>14</v>
      </c>
      <c r="C291" t="s">
        <v>120</v>
      </c>
      <c r="D291" t="s">
        <v>105</v>
      </c>
      <c r="E291" s="4">
        <f>VLOOKUP($A291,releases,2,FALSE)</f>
        <v>6</v>
      </c>
      <c r="F291" s="4" t="str">
        <f>VLOOKUP($A291,releases,3,FALSE)</f>
        <v>UK</v>
      </c>
      <c r="G291" s="4" t="str">
        <f>VLOOKUP($A291,releases,8,FALSE)</f>
        <v>Stereo</v>
      </c>
      <c r="H291" s="4" t="str">
        <f>VLOOKUP($A291,releases,4,FALSE)</f>
        <v>Rubber Soul</v>
      </c>
    </row>
    <row r="292" spans="1:8" x14ac:dyDescent="0.25">
      <c r="A292" t="s">
        <v>42</v>
      </c>
      <c r="B292">
        <v>1</v>
      </c>
      <c r="C292" t="s">
        <v>104</v>
      </c>
      <c r="D292" t="s">
        <v>105</v>
      </c>
      <c r="E292" s="4">
        <f>VLOOKUP($A292,releases,2,FALSE)</f>
        <v>6</v>
      </c>
      <c r="F292" s="4" t="str">
        <f>VLOOKUP($A292,releases,3,FALSE)</f>
        <v>UK</v>
      </c>
      <c r="G292" s="4" t="str">
        <f>VLOOKUP($A292,releases,8,FALSE)</f>
        <v>Mono</v>
      </c>
      <c r="H292" s="4" t="str">
        <f>VLOOKUP($A292,releases,4,FALSE)</f>
        <v>Rubber Soul</v>
      </c>
    </row>
    <row r="293" spans="1:8" x14ac:dyDescent="0.25">
      <c r="A293" t="s">
        <v>42</v>
      </c>
      <c r="B293">
        <v>2</v>
      </c>
      <c r="C293" t="s">
        <v>106</v>
      </c>
      <c r="D293" t="s">
        <v>105</v>
      </c>
      <c r="E293" s="4">
        <f>VLOOKUP($A293,releases,2,FALSE)</f>
        <v>6</v>
      </c>
      <c r="F293" s="4" t="str">
        <f>VLOOKUP($A293,releases,3,FALSE)</f>
        <v>UK</v>
      </c>
      <c r="G293" s="4" t="str">
        <f>VLOOKUP($A293,releases,8,FALSE)</f>
        <v>Mono</v>
      </c>
      <c r="H293" s="4" t="str">
        <f>VLOOKUP($A293,releases,4,FALSE)</f>
        <v>Rubber Soul</v>
      </c>
    </row>
    <row r="294" spans="1:8" x14ac:dyDescent="0.25">
      <c r="A294" t="s">
        <v>42</v>
      </c>
      <c r="B294">
        <v>3</v>
      </c>
      <c r="C294" t="s">
        <v>107</v>
      </c>
      <c r="D294" t="s">
        <v>105</v>
      </c>
      <c r="E294" s="4">
        <f>VLOOKUP($A294,releases,2,FALSE)</f>
        <v>6</v>
      </c>
      <c r="F294" s="4" t="str">
        <f>VLOOKUP($A294,releases,3,FALSE)</f>
        <v>UK</v>
      </c>
      <c r="G294" s="4" t="str">
        <f>VLOOKUP($A294,releases,8,FALSE)</f>
        <v>Mono</v>
      </c>
      <c r="H294" s="4" t="str">
        <f>VLOOKUP($A294,releases,4,FALSE)</f>
        <v>Rubber Soul</v>
      </c>
    </row>
    <row r="295" spans="1:8" x14ac:dyDescent="0.25">
      <c r="A295" t="s">
        <v>42</v>
      </c>
      <c r="B295">
        <v>4</v>
      </c>
      <c r="C295" t="s">
        <v>108</v>
      </c>
      <c r="D295" t="s">
        <v>105</v>
      </c>
      <c r="E295" s="4">
        <f>VLOOKUP($A295,releases,2,FALSE)</f>
        <v>6</v>
      </c>
      <c r="F295" s="4" t="str">
        <f>VLOOKUP($A295,releases,3,FALSE)</f>
        <v>UK</v>
      </c>
      <c r="G295" s="4" t="str">
        <f>VLOOKUP($A295,releases,8,FALSE)</f>
        <v>Mono</v>
      </c>
      <c r="H295" s="4" t="str">
        <f>VLOOKUP($A295,releases,4,FALSE)</f>
        <v>Rubber Soul</v>
      </c>
    </row>
    <row r="296" spans="1:8" x14ac:dyDescent="0.25">
      <c r="A296" t="s">
        <v>42</v>
      </c>
      <c r="B296">
        <v>5</v>
      </c>
      <c r="C296" t="s">
        <v>109</v>
      </c>
      <c r="D296" t="s">
        <v>110</v>
      </c>
      <c r="E296" s="4">
        <f>VLOOKUP($A296,releases,2,FALSE)</f>
        <v>6</v>
      </c>
      <c r="F296" s="4" t="str">
        <f>VLOOKUP($A296,releases,3,FALSE)</f>
        <v>UK</v>
      </c>
      <c r="G296" s="4" t="str">
        <f>VLOOKUP($A296,releases,8,FALSE)</f>
        <v>Mono</v>
      </c>
      <c r="H296" s="4" t="str">
        <f>VLOOKUP($A296,releases,4,FALSE)</f>
        <v>Rubber Soul</v>
      </c>
    </row>
    <row r="297" spans="1:8" x14ac:dyDescent="0.25">
      <c r="A297" t="s">
        <v>42</v>
      </c>
      <c r="B297">
        <v>6</v>
      </c>
      <c r="C297" t="s">
        <v>111</v>
      </c>
      <c r="D297" t="s">
        <v>105</v>
      </c>
      <c r="E297" s="4">
        <f>VLOOKUP($A297,releases,2,FALSE)</f>
        <v>6</v>
      </c>
      <c r="F297" s="4" t="str">
        <f>VLOOKUP($A297,releases,3,FALSE)</f>
        <v>UK</v>
      </c>
      <c r="G297" s="4" t="str">
        <f>VLOOKUP($A297,releases,8,FALSE)</f>
        <v>Mono</v>
      </c>
      <c r="H297" s="4" t="str">
        <f>VLOOKUP($A297,releases,4,FALSE)</f>
        <v>Rubber Soul</v>
      </c>
    </row>
    <row r="298" spans="1:8" x14ac:dyDescent="0.25">
      <c r="A298" t="s">
        <v>42</v>
      </c>
      <c r="B298">
        <v>7</v>
      </c>
      <c r="C298" t="s">
        <v>112</v>
      </c>
      <c r="D298" t="s">
        <v>105</v>
      </c>
      <c r="E298" s="4">
        <f>VLOOKUP($A298,releases,2,FALSE)</f>
        <v>6</v>
      </c>
      <c r="F298" s="4" t="str">
        <f>VLOOKUP($A298,releases,3,FALSE)</f>
        <v>UK</v>
      </c>
      <c r="G298" s="4" t="str">
        <f>VLOOKUP($A298,releases,8,FALSE)</f>
        <v>Mono</v>
      </c>
      <c r="H298" s="4" t="str">
        <f>VLOOKUP($A298,releases,4,FALSE)</f>
        <v>Rubber Soul</v>
      </c>
    </row>
    <row r="299" spans="1:8" x14ac:dyDescent="0.25">
      <c r="A299" t="s">
        <v>42</v>
      </c>
      <c r="B299">
        <v>8</v>
      </c>
      <c r="C299" t="s">
        <v>113</v>
      </c>
      <c r="D299" t="s">
        <v>114</v>
      </c>
      <c r="E299" s="4">
        <f>VLOOKUP($A299,releases,2,FALSE)</f>
        <v>6</v>
      </c>
      <c r="F299" s="4" t="str">
        <f>VLOOKUP($A299,releases,3,FALSE)</f>
        <v>UK</v>
      </c>
      <c r="G299" s="4" t="str">
        <f>VLOOKUP($A299,releases,8,FALSE)</f>
        <v>Mono</v>
      </c>
      <c r="H299" s="4" t="str">
        <f>VLOOKUP($A299,releases,4,FALSE)</f>
        <v>Rubber Soul</v>
      </c>
    </row>
    <row r="300" spans="1:8" x14ac:dyDescent="0.25">
      <c r="A300" t="s">
        <v>42</v>
      </c>
      <c r="B300">
        <v>9</v>
      </c>
      <c r="C300" t="s">
        <v>115</v>
      </c>
      <c r="D300" t="s">
        <v>105</v>
      </c>
      <c r="E300" s="4">
        <f>VLOOKUP($A300,releases,2,FALSE)</f>
        <v>6</v>
      </c>
      <c r="F300" s="4" t="str">
        <f>VLOOKUP($A300,releases,3,FALSE)</f>
        <v>UK</v>
      </c>
      <c r="G300" s="4" t="str">
        <f>VLOOKUP($A300,releases,8,FALSE)</f>
        <v>Mono</v>
      </c>
      <c r="H300" s="4" t="str">
        <f>VLOOKUP($A300,releases,4,FALSE)</f>
        <v>Rubber Soul</v>
      </c>
    </row>
    <row r="301" spans="1:8" x14ac:dyDescent="0.25">
      <c r="A301" t="s">
        <v>42</v>
      </c>
      <c r="B301">
        <v>10</v>
      </c>
      <c r="C301" t="s">
        <v>116</v>
      </c>
      <c r="D301" t="s">
        <v>105</v>
      </c>
      <c r="E301" s="4">
        <f>VLOOKUP($A301,releases,2,FALSE)</f>
        <v>6</v>
      </c>
      <c r="F301" s="4" t="str">
        <f>VLOOKUP($A301,releases,3,FALSE)</f>
        <v>UK</v>
      </c>
      <c r="G301" s="4" t="str">
        <f>VLOOKUP($A301,releases,8,FALSE)</f>
        <v>Mono</v>
      </c>
      <c r="H301" s="4" t="str">
        <f>VLOOKUP($A301,releases,4,FALSE)</f>
        <v>Rubber Soul</v>
      </c>
    </row>
    <row r="302" spans="1:8" x14ac:dyDescent="0.25">
      <c r="A302" t="s">
        <v>42</v>
      </c>
      <c r="B302">
        <v>11</v>
      </c>
      <c r="C302" t="s">
        <v>117</v>
      </c>
      <c r="D302" t="s">
        <v>105</v>
      </c>
      <c r="E302" s="4">
        <f>VLOOKUP($A302,releases,2,FALSE)</f>
        <v>6</v>
      </c>
      <c r="F302" s="4" t="str">
        <f>VLOOKUP($A302,releases,3,FALSE)</f>
        <v>UK</v>
      </c>
      <c r="G302" s="4" t="str">
        <f>VLOOKUP($A302,releases,8,FALSE)</f>
        <v>Mono</v>
      </c>
      <c r="H302" s="4" t="str">
        <f>VLOOKUP($A302,releases,4,FALSE)</f>
        <v>Rubber Soul</v>
      </c>
    </row>
    <row r="303" spans="1:8" x14ac:dyDescent="0.25">
      <c r="A303" t="s">
        <v>42</v>
      </c>
      <c r="B303">
        <v>12</v>
      </c>
      <c r="C303" t="s">
        <v>118</v>
      </c>
      <c r="D303" t="s">
        <v>105</v>
      </c>
      <c r="E303" s="4">
        <f>VLOOKUP($A303,releases,2,FALSE)</f>
        <v>6</v>
      </c>
      <c r="F303" s="4" t="str">
        <f>VLOOKUP($A303,releases,3,FALSE)</f>
        <v>UK</v>
      </c>
      <c r="G303" s="4" t="str">
        <f>VLOOKUP($A303,releases,8,FALSE)</f>
        <v>Mono</v>
      </c>
      <c r="H303" s="4" t="str">
        <f>VLOOKUP($A303,releases,4,FALSE)</f>
        <v>Rubber Soul</v>
      </c>
    </row>
    <row r="304" spans="1:8" x14ac:dyDescent="0.25">
      <c r="A304" t="s">
        <v>42</v>
      </c>
      <c r="B304">
        <v>13</v>
      </c>
      <c r="C304" t="s">
        <v>119</v>
      </c>
      <c r="D304" t="s">
        <v>110</v>
      </c>
      <c r="E304" s="4">
        <f>VLOOKUP($A304,releases,2,FALSE)</f>
        <v>6</v>
      </c>
      <c r="F304" s="4" t="str">
        <f>VLOOKUP($A304,releases,3,FALSE)</f>
        <v>UK</v>
      </c>
      <c r="G304" s="4" t="str">
        <f>VLOOKUP($A304,releases,8,FALSE)</f>
        <v>Mono</v>
      </c>
      <c r="H304" s="4" t="str">
        <f>VLOOKUP($A304,releases,4,FALSE)</f>
        <v>Rubber Soul</v>
      </c>
    </row>
    <row r="305" spans="1:8" x14ac:dyDescent="0.25">
      <c r="A305" t="s">
        <v>42</v>
      </c>
      <c r="B305">
        <v>14</v>
      </c>
      <c r="C305" t="s">
        <v>120</v>
      </c>
      <c r="D305" t="s">
        <v>105</v>
      </c>
      <c r="E305" s="4">
        <f>VLOOKUP($A305,releases,2,FALSE)</f>
        <v>6</v>
      </c>
      <c r="F305" s="4" t="str">
        <f>VLOOKUP($A305,releases,3,FALSE)</f>
        <v>UK</v>
      </c>
      <c r="G305" s="4" t="str">
        <f>VLOOKUP($A305,releases,8,FALSE)</f>
        <v>Mono</v>
      </c>
      <c r="H305" s="4" t="str">
        <f>VLOOKUP($A305,releases,4,FALSE)</f>
        <v>Rubber Soul</v>
      </c>
    </row>
    <row r="306" spans="1:8" x14ac:dyDescent="0.25">
      <c r="A306" t="s">
        <v>51</v>
      </c>
      <c r="B306">
        <v>1</v>
      </c>
      <c r="C306" t="s">
        <v>221</v>
      </c>
      <c r="D306" t="s">
        <v>110</v>
      </c>
      <c r="E306" s="4">
        <f>VLOOKUP($A306,releases,2,FALSE)</f>
        <v>7</v>
      </c>
      <c r="F306" s="4" t="str">
        <f>VLOOKUP($A306,releases,3,FALSE)</f>
        <v>US</v>
      </c>
      <c r="G306" s="4" t="str">
        <f>VLOOKUP($A306,releases,8,FALSE)</f>
        <v>Stereo</v>
      </c>
      <c r="H306" s="4" t="str">
        <f>VLOOKUP($A306,releases,4,FALSE)</f>
        <v>Revolver</v>
      </c>
    </row>
    <row r="307" spans="1:8" x14ac:dyDescent="0.25">
      <c r="A307" t="s">
        <v>51</v>
      </c>
      <c r="B307">
        <v>2</v>
      </c>
      <c r="C307" t="s">
        <v>222</v>
      </c>
      <c r="D307" t="s">
        <v>105</v>
      </c>
      <c r="E307" s="4">
        <f>VLOOKUP($A307,releases,2,FALSE)</f>
        <v>7</v>
      </c>
      <c r="F307" s="4" t="str">
        <f>VLOOKUP($A307,releases,3,FALSE)</f>
        <v>US</v>
      </c>
      <c r="G307" s="4" t="str">
        <f>VLOOKUP($A307,releases,8,FALSE)</f>
        <v>Stereo</v>
      </c>
      <c r="H307" s="4" t="str">
        <f>VLOOKUP($A307,releases,4,FALSE)</f>
        <v>Revolver</v>
      </c>
    </row>
    <row r="308" spans="1:8" x14ac:dyDescent="0.25">
      <c r="A308" t="s">
        <v>51</v>
      </c>
      <c r="B308">
        <v>3</v>
      </c>
      <c r="C308" t="s">
        <v>224</v>
      </c>
      <c r="D308" t="s">
        <v>110</v>
      </c>
      <c r="E308" s="4">
        <f>VLOOKUP($A308,releases,2,FALSE)</f>
        <v>7</v>
      </c>
      <c r="F308" s="4" t="str">
        <f>VLOOKUP($A308,releases,3,FALSE)</f>
        <v>US</v>
      </c>
      <c r="G308" s="4" t="str">
        <f>VLOOKUP($A308,releases,8,FALSE)</f>
        <v>Stereo</v>
      </c>
      <c r="H308" s="4" t="str">
        <f>VLOOKUP($A308,releases,4,FALSE)</f>
        <v>Revolver</v>
      </c>
    </row>
    <row r="309" spans="1:8" x14ac:dyDescent="0.25">
      <c r="A309" t="s">
        <v>51</v>
      </c>
      <c r="B309">
        <v>4</v>
      </c>
      <c r="C309" t="s">
        <v>225</v>
      </c>
      <c r="D309" t="s">
        <v>105</v>
      </c>
      <c r="E309" s="4">
        <f>VLOOKUP($A309,releases,2,FALSE)</f>
        <v>7</v>
      </c>
      <c r="F309" s="4" t="str">
        <f>VLOOKUP($A309,releases,3,FALSE)</f>
        <v>US</v>
      </c>
      <c r="G309" s="4" t="str">
        <f>VLOOKUP($A309,releases,8,FALSE)</f>
        <v>Stereo</v>
      </c>
      <c r="H309" s="4" t="str">
        <f>VLOOKUP($A309,releases,4,FALSE)</f>
        <v>Revolver</v>
      </c>
    </row>
    <row r="310" spans="1:8" x14ac:dyDescent="0.25">
      <c r="A310" t="s">
        <v>51</v>
      </c>
      <c r="B310">
        <v>5</v>
      </c>
      <c r="C310" t="s">
        <v>63</v>
      </c>
      <c r="D310" t="s">
        <v>105</v>
      </c>
      <c r="E310" s="4">
        <f>VLOOKUP($A310,releases,2,FALSE)</f>
        <v>7</v>
      </c>
      <c r="F310" s="4" t="str">
        <f>VLOOKUP($A310,releases,3,FALSE)</f>
        <v>US</v>
      </c>
      <c r="G310" s="4" t="str">
        <f>VLOOKUP($A310,releases,8,FALSE)</f>
        <v>Stereo</v>
      </c>
      <c r="H310" s="4" t="str">
        <f>VLOOKUP($A310,releases,4,FALSE)</f>
        <v>Revolver</v>
      </c>
    </row>
    <row r="311" spans="1:8" x14ac:dyDescent="0.25">
      <c r="A311" t="s">
        <v>51</v>
      </c>
      <c r="B311">
        <v>6</v>
      </c>
      <c r="C311" t="s">
        <v>226</v>
      </c>
      <c r="D311" t="s">
        <v>105</v>
      </c>
      <c r="E311" s="4">
        <f>VLOOKUP($A311,releases,2,FALSE)</f>
        <v>7</v>
      </c>
      <c r="F311" s="4" t="str">
        <f>VLOOKUP($A311,releases,3,FALSE)</f>
        <v>US</v>
      </c>
      <c r="G311" s="4" t="str">
        <f>VLOOKUP($A311,releases,8,FALSE)</f>
        <v>Stereo</v>
      </c>
      <c r="H311" s="4" t="str">
        <f>VLOOKUP($A311,releases,4,FALSE)</f>
        <v>Revolver</v>
      </c>
    </row>
    <row r="312" spans="1:8" x14ac:dyDescent="0.25">
      <c r="A312" t="s">
        <v>51</v>
      </c>
      <c r="B312">
        <v>7</v>
      </c>
      <c r="C312" t="s">
        <v>227</v>
      </c>
      <c r="D312" t="s">
        <v>105</v>
      </c>
      <c r="E312" s="4">
        <f>VLOOKUP($A312,releases,2,FALSE)</f>
        <v>7</v>
      </c>
      <c r="F312" s="4" t="str">
        <f>VLOOKUP($A312,releases,3,FALSE)</f>
        <v>US</v>
      </c>
      <c r="G312" s="4" t="str">
        <f>VLOOKUP($A312,releases,8,FALSE)</f>
        <v>Stereo</v>
      </c>
      <c r="H312" s="4" t="str">
        <f>VLOOKUP($A312,releases,4,FALSE)</f>
        <v>Revolver</v>
      </c>
    </row>
    <row r="313" spans="1:8" x14ac:dyDescent="0.25">
      <c r="A313" t="s">
        <v>51</v>
      </c>
      <c r="B313">
        <v>8</v>
      </c>
      <c r="C313" t="s">
        <v>229</v>
      </c>
      <c r="D313" t="s">
        <v>105</v>
      </c>
      <c r="E313" s="4">
        <f>VLOOKUP($A313,releases,2,FALSE)</f>
        <v>7</v>
      </c>
      <c r="F313" s="4" t="str">
        <f>VLOOKUP($A313,releases,3,FALSE)</f>
        <v>US</v>
      </c>
      <c r="G313" s="4" t="str">
        <f>VLOOKUP($A313,releases,8,FALSE)</f>
        <v>Stereo</v>
      </c>
      <c r="H313" s="4" t="str">
        <f>VLOOKUP($A313,releases,4,FALSE)</f>
        <v>Revolver</v>
      </c>
    </row>
    <row r="314" spans="1:8" x14ac:dyDescent="0.25">
      <c r="A314" t="s">
        <v>51</v>
      </c>
      <c r="B314">
        <v>9</v>
      </c>
      <c r="C314" t="s">
        <v>231</v>
      </c>
      <c r="D314" t="s">
        <v>110</v>
      </c>
      <c r="E314" s="4">
        <f>VLOOKUP($A314,releases,2,FALSE)</f>
        <v>7</v>
      </c>
      <c r="F314" s="4" t="str">
        <f>VLOOKUP($A314,releases,3,FALSE)</f>
        <v>US</v>
      </c>
      <c r="G314" s="4" t="str">
        <f>VLOOKUP($A314,releases,8,FALSE)</f>
        <v>Stereo</v>
      </c>
      <c r="H314" s="4" t="str">
        <f>VLOOKUP($A314,releases,4,FALSE)</f>
        <v>Revolver</v>
      </c>
    </row>
    <row r="315" spans="1:8" x14ac:dyDescent="0.25">
      <c r="A315" t="s">
        <v>51</v>
      </c>
      <c r="B315">
        <v>10</v>
      </c>
      <c r="C315" t="s">
        <v>232</v>
      </c>
      <c r="D315" t="s">
        <v>105</v>
      </c>
      <c r="E315" s="4">
        <f>VLOOKUP($A315,releases,2,FALSE)</f>
        <v>7</v>
      </c>
      <c r="F315" s="4" t="str">
        <f>VLOOKUP($A315,releases,3,FALSE)</f>
        <v>US</v>
      </c>
      <c r="G315" s="4" t="str">
        <f>VLOOKUP($A315,releases,8,FALSE)</f>
        <v>Stereo</v>
      </c>
      <c r="H315" s="4" t="str">
        <f>VLOOKUP($A315,releases,4,FALSE)</f>
        <v>Revolver</v>
      </c>
    </row>
    <row r="316" spans="1:8" x14ac:dyDescent="0.25">
      <c r="A316" t="s">
        <v>51</v>
      </c>
      <c r="B316">
        <v>11</v>
      </c>
      <c r="C316" t="s">
        <v>233</v>
      </c>
      <c r="D316" t="s">
        <v>105</v>
      </c>
      <c r="E316" s="4">
        <f>VLOOKUP($A316,releases,2,FALSE)</f>
        <v>7</v>
      </c>
      <c r="F316" s="4" t="str">
        <f>VLOOKUP($A316,releases,3,FALSE)</f>
        <v>US</v>
      </c>
      <c r="G316" s="4" t="str">
        <f>VLOOKUP($A316,releases,8,FALSE)</f>
        <v>Stereo</v>
      </c>
      <c r="H316" s="4" t="str">
        <f>VLOOKUP($A316,releases,4,FALSE)</f>
        <v>Revolver</v>
      </c>
    </row>
    <row r="317" spans="1:8" x14ac:dyDescent="0.25">
      <c r="A317" t="s">
        <v>50</v>
      </c>
      <c r="B317">
        <v>1</v>
      </c>
      <c r="C317" t="s">
        <v>221</v>
      </c>
      <c r="D317" t="s">
        <v>110</v>
      </c>
      <c r="E317" s="4">
        <f>VLOOKUP($A317,releases,2,FALSE)</f>
        <v>7</v>
      </c>
      <c r="F317" s="4" t="str">
        <f>VLOOKUP($A317,releases,3,FALSE)</f>
        <v>US</v>
      </c>
      <c r="G317" s="4" t="str">
        <f>VLOOKUP($A317,releases,8,FALSE)</f>
        <v>Mono</v>
      </c>
      <c r="H317" s="4" t="str">
        <f>VLOOKUP($A317,releases,4,FALSE)</f>
        <v>Revolver</v>
      </c>
    </row>
    <row r="318" spans="1:8" x14ac:dyDescent="0.25">
      <c r="A318" t="s">
        <v>50</v>
      </c>
      <c r="B318">
        <v>2</v>
      </c>
      <c r="C318" t="s">
        <v>222</v>
      </c>
      <c r="D318" t="s">
        <v>105</v>
      </c>
      <c r="E318" s="4">
        <f>VLOOKUP($A318,releases,2,FALSE)</f>
        <v>7</v>
      </c>
      <c r="F318" s="4" t="str">
        <f>VLOOKUP($A318,releases,3,FALSE)</f>
        <v>US</v>
      </c>
      <c r="G318" s="4" t="str">
        <f>VLOOKUP($A318,releases,8,FALSE)</f>
        <v>Mono</v>
      </c>
      <c r="H318" s="4" t="str">
        <f>VLOOKUP($A318,releases,4,FALSE)</f>
        <v>Revolver</v>
      </c>
    </row>
    <row r="319" spans="1:8" x14ac:dyDescent="0.25">
      <c r="A319" t="s">
        <v>50</v>
      </c>
      <c r="B319">
        <v>3</v>
      </c>
      <c r="C319" t="s">
        <v>224</v>
      </c>
      <c r="D319" t="s">
        <v>110</v>
      </c>
      <c r="E319" s="4">
        <f>VLOOKUP($A319,releases,2,FALSE)</f>
        <v>7</v>
      </c>
      <c r="F319" s="4" t="str">
        <f>VLOOKUP($A319,releases,3,FALSE)</f>
        <v>US</v>
      </c>
      <c r="G319" s="4" t="str">
        <f>VLOOKUP($A319,releases,8,FALSE)</f>
        <v>Mono</v>
      </c>
      <c r="H319" s="4" t="str">
        <f>VLOOKUP($A319,releases,4,FALSE)</f>
        <v>Revolver</v>
      </c>
    </row>
    <row r="320" spans="1:8" x14ac:dyDescent="0.25">
      <c r="A320" t="s">
        <v>50</v>
      </c>
      <c r="B320">
        <v>4</v>
      </c>
      <c r="C320" t="s">
        <v>225</v>
      </c>
      <c r="D320" t="s">
        <v>105</v>
      </c>
      <c r="E320" s="4">
        <f>VLOOKUP($A320,releases,2,FALSE)</f>
        <v>7</v>
      </c>
      <c r="F320" s="4" t="str">
        <f>VLOOKUP($A320,releases,3,FALSE)</f>
        <v>US</v>
      </c>
      <c r="G320" s="4" t="str">
        <f>VLOOKUP($A320,releases,8,FALSE)</f>
        <v>Mono</v>
      </c>
      <c r="H320" s="4" t="str">
        <f>VLOOKUP($A320,releases,4,FALSE)</f>
        <v>Revolver</v>
      </c>
    </row>
    <row r="321" spans="1:8" x14ac:dyDescent="0.25">
      <c r="A321" t="s">
        <v>50</v>
      </c>
      <c r="B321">
        <v>5</v>
      </c>
      <c r="C321" t="s">
        <v>63</v>
      </c>
      <c r="D321" t="s">
        <v>105</v>
      </c>
      <c r="E321" s="4">
        <f>VLOOKUP($A321,releases,2,FALSE)</f>
        <v>7</v>
      </c>
      <c r="F321" s="4" t="str">
        <f>VLOOKUP($A321,releases,3,FALSE)</f>
        <v>US</v>
      </c>
      <c r="G321" s="4" t="str">
        <f>VLOOKUP($A321,releases,8,FALSE)</f>
        <v>Mono</v>
      </c>
      <c r="H321" s="4" t="str">
        <f>VLOOKUP($A321,releases,4,FALSE)</f>
        <v>Revolver</v>
      </c>
    </row>
    <row r="322" spans="1:8" x14ac:dyDescent="0.25">
      <c r="A322" t="s">
        <v>50</v>
      </c>
      <c r="B322">
        <v>6</v>
      </c>
      <c r="C322" t="s">
        <v>226</v>
      </c>
      <c r="D322" t="s">
        <v>105</v>
      </c>
      <c r="E322" s="4">
        <f>VLOOKUP($A322,releases,2,FALSE)</f>
        <v>7</v>
      </c>
      <c r="F322" s="4" t="str">
        <f>VLOOKUP($A322,releases,3,FALSE)</f>
        <v>US</v>
      </c>
      <c r="G322" s="4" t="str">
        <f>VLOOKUP($A322,releases,8,FALSE)</f>
        <v>Mono</v>
      </c>
      <c r="H322" s="4" t="str">
        <f>VLOOKUP($A322,releases,4,FALSE)</f>
        <v>Revolver</v>
      </c>
    </row>
    <row r="323" spans="1:8" x14ac:dyDescent="0.25">
      <c r="A323" t="s">
        <v>50</v>
      </c>
      <c r="B323">
        <v>7</v>
      </c>
      <c r="C323" t="s">
        <v>227</v>
      </c>
      <c r="D323" t="s">
        <v>105</v>
      </c>
      <c r="E323" s="4">
        <f>VLOOKUP($A323,releases,2,FALSE)</f>
        <v>7</v>
      </c>
      <c r="F323" s="4" t="str">
        <f>VLOOKUP($A323,releases,3,FALSE)</f>
        <v>US</v>
      </c>
      <c r="G323" s="4" t="str">
        <f>VLOOKUP($A323,releases,8,FALSE)</f>
        <v>Mono</v>
      </c>
      <c r="H323" s="4" t="str">
        <f>VLOOKUP($A323,releases,4,FALSE)</f>
        <v>Revolver</v>
      </c>
    </row>
    <row r="324" spans="1:8" x14ac:dyDescent="0.25">
      <c r="A324" t="s">
        <v>50</v>
      </c>
      <c r="B324">
        <v>8</v>
      </c>
      <c r="C324" t="s">
        <v>229</v>
      </c>
      <c r="D324" t="s">
        <v>105</v>
      </c>
      <c r="E324" s="4">
        <f>VLOOKUP($A324,releases,2,FALSE)</f>
        <v>7</v>
      </c>
      <c r="F324" s="4" t="str">
        <f>VLOOKUP($A324,releases,3,FALSE)</f>
        <v>US</v>
      </c>
      <c r="G324" s="4" t="str">
        <f>VLOOKUP($A324,releases,8,FALSE)</f>
        <v>Mono</v>
      </c>
      <c r="H324" s="4" t="str">
        <f>VLOOKUP($A324,releases,4,FALSE)</f>
        <v>Revolver</v>
      </c>
    </row>
    <row r="325" spans="1:8" x14ac:dyDescent="0.25">
      <c r="A325" t="s">
        <v>50</v>
      </c>
      <c r="B325">
        <v>9</v>
      </c>
      <c r="C325" t="s">
        <v>231</v>
      </c>
      <c r="D325" t="s">
        <v>110</v>
      </c>
      <c r="E325" s="4">
        <f>VLOOKUP($A325,releases,2,FALSE)</f>
        <v>7</v>
      </c>
      <c r="F325" s="4" t="str">
        <f>VLOOKUP($A325,releases,3,FALSE)</f>
        <v>US</v>
      </c>
      <c r="G325" s="4" t="str">
        <f>VLOOKUP($A325,releases,8,FALSE)</f>
        <v>Mono</v>
      </c>
      <c r="H325" s="4" t="str">
        <f>VLOOKUP($A325,releases,4,FALSE)</f>
        <v>Revolver</v>
      </c>
    </row>
    <row r="326" spans="1:8" x14ac:dyDescent="0.25">
      <c r="A326" t="s">
        <v>50</v>
      </c>
      <c r="B326">
        <v>10</v>
      </c>
      <c r="C326" t="s">
        <v>232</v>
      </c>
      <c r="D326" t="s">
        <v>105</v>
      </c>
      <c r="E326" s="4">
        <f>VLOOKUP($A326,releases,2,FALSE)</f>
        <v>7</v>
      </c>
      <c r="F326" s="4" t="str">
        <f>VLOOKUP($A326,releases,3,FALSE)</f>
        <v>US</v>
      </c>
      <c r="G326" s="4" t="str">
        <f>VLOOKUP($A326,releases,8,FALSE)</f>
        <v>Mono</v>
      </c>
      <c r="H326" s="4" t="str">
        <f>VLOOKUP($A326,releases,4,FALSE)</f>
        <v>Revolver</v>
      </c>
    </row>
    <row r="327" spans="1:8" x14ac:dyDescent="0.25">
      <c r="A327" t="s">
        <v>50</v>
      </c>
      <c r="B327">
        <v>11</v>
      </c>
      <c r="C327" t="s">
        <v>233</v>
      </c>
      <c r="D327" t="s">
        <v>105</v>
      </c>
      <c r="E327" s="4">
        <f>VLOOKUP($A327,releases,2,FALSE)</f>
        <v>7</v>
      </c>
      <c r="F327" s="4" t="str">
        <f>VLOOKUP($A327,releases,3,FALSE)</f>
        <v>US</v>
      </c>
      <c r="G327" s="4" t="str">
        <f>VLOOKUP($A327,releases,8,FALSE)</f>
        <v>Mono</v>
      </c>
      <c r="H327" s="4" t="str">
        <f>VLOOKUP($A327,releases,4,FALSE)</f>
        <v>Revolver</v>
      </c>
    </row>
    <row r="328" spans="1:8" x14ac:dyDescent="0.25">
      <c r="A328" t="s">
        <v>49</v>
      </c>
      <c r="B328">
        <v>1</v>
      </c>
      <c r="C328" t="s">
        <v>221</v>
      </c>
      <c r="D328" t="s">
        <v>110</v>
      </c>
      <c r="E328" s="4">
        <f>VLOOKUP($A328,releases,2,FALSE)</f>
        <v>7</v>
      </c>
      <c r="F328" s="4" t="str">
        <f>VLOOKUP($A328,releases,3,FALSE)</f>
        <v>UK</v>
      </c>
      <c r="G328" s="4" t="str">
        <f>VLOOKUP($A328,releases,8,FALSE)</f>
        <v>Stereo</v>
      </c>
      <c r="H328" s="4" t="str">
        <f>VLOOKUP($A328,releases,4,FALSE)</f>
        <v>Revolver</v>
      </c>
    </row>
    <row r="329" spans="1:8" x14ac:dyDescent="0.25">
      <c r="A329" t="s">
        <v>49</v>
      </c>
      <c r="B329">
        <v>2</v>
      </c>
      <c r="C329" t="s">
        <v>222</v>
      </c>
      <c r="D329" t="s">
        <v>105</v>
      </c>
      <c r="E329" s="4">
        <f>VLOOKUP($A329,releases,2,FALSE)</f>
        <v>7</v>
      </c>
      <c r="F329" s="4" t="str">
        <f>VLOOKUP($A329,releases,3,FALSE)</f>
        <v>UK</v>
      </c>
      <c r="G329" s="4" t="str">
        <f>VLOOKUP($A329,releases,8,FALSE)</f>
        <v>Stereo</v>
      </c>
      <c r="H329" s="4" t="str">
        <f>VLOOKUP($A329,releases,4,FALSE)</f>
        <v>Revolver</v>
      </c>
    </row>
    <row r="330" spans="1:8" x14ac:dyDescent="0.25">
      <c r="A330" t="s">
        <v>49</v>
      </c>
      <c r="B330">
        <v>3</v>
      </c>
      <c r="C330" t="s">
        <v>223</v>
      </c>
      <c r="D330" t="s">
        <v>105</v>
      </c>
      <c r="E330" s="4">
        <f>VLOOKUP($A330,releases,2,FALSE)</f>
        <v>7</v>
      </c>
      <c r="F330" s="4" t="str">
        <f>VLOOKUP($A330,releases,3,FALSE)</f>
        <v>UK</v>
      </c>
      <c r="G330" s="4" t="str">
        <f>VLOOKUP($A330,releases,8,FALSE)</f>
        <v>Stereo</v>
      </c>
      <c r="H330" s="4" t="str">
        <f>VLOOKUP($A330,releases,4,FALSE)</f>
        <v>Revolver</v>
      </c>
    </row>
    <row r="331" spans="1:8" x14ac:dyDescent="0.25">
      <c r="A331" t="s">
        <v>49</v>
      </c>
      <c r="B331">
        <v>4</v>
      </c>
      <c r="C331" t="s">
        <v>224</v>
      </c>
      <c r="D331" t="s">
        <v>110</v>
      </c>
      <c r="E331" s="4">
        <f>VLOOKUP($A331,releases,2,FALSE)</f>
        <v>7</v>
      </c>
      <c r="F331" s="4" t="str">
        <f>VLOOKUP($A331,releases,3,FALSE)</f>
        <v>UK</v>
      </c>
      <c r="G331" s="4" t="str">
        <f>VLOOKUP($A331,releases,8,FALSE)</f>
        <v>Stereo</v>
      </c>
      <c r="H331" s="4" t="str">
        <f>VLOOKUP($A331,releases,4,FALSE)</f>
        <v>Revolver</v>
      </c>
    </row>
    <row r="332" spans="1:8" x14ac:dyDescent="0.25">
      <c r="A332" t="s">
        <v>49</v>
      </c>
      <c r="B332">
        <v>5</v>
      </c>
      <c r="C332" t="s">
        <v>225</v>
      </c>
      <c r="D332" t="s">
        <v>105</v>
      </c>
      <c r="E332" s="4">
        <f>VLOOKUP($A332,releases,2,FALSE)</f>
        <v>7</v>
      </c>
      <c r="F332" s="4" t="str">
        <f>VLOOKUP($A332,releases,3,FALSE)</f>
        <v>UK</v>
      </c>
      <c r="G332" s="4" t="str">
        <f>VLOOKUP($A332,releases,8,FALSE)</f>
        <v>Stereo</v>
      </c>
      <c r="H332" s="4" t="str">
        <f>VLOOKUP($A332,releases,4,FALSE)</f>
        <v>Revolver</v>
      </c>
    </row>
    <row r="333" spans="1:8" x14ac:dyDescent="0.25">
      <c r="A333" t="s">
        <v>49</v>
      </c>
      <c r="B333">
        <v>6</v>
      </c>
      <c r="C333" t="s">
        <v>63</v>
      </c>
      <c r="D333" t="s">
        <v>105</v>
      </c>
      <c r="E333" s="4">
        <f>VLOOKUP($A333,releases,2,FALSE)</f>
        <v>7</v>
      </c>
      <c r="F333" s="4" t="str">
        <f>VLOOKUP($A333,releases,3,FALSE)</f>
        <v>UK</v>
      </c>
      <c r="G333" s="4" t="str">
        <f>VLOOKUP($A333,releases,8,FALSE)</f>
        <v>Stereo</v>
      </c>
      <c r="H333" s="4" t="str">
        <f>VLOOKUP($A333,releases,4,FALSE)</f>
        <v>Revolver</v>
      </c>
    </row>
    <row r="334" spans="1:8" x14ac:dyDescent="0.25">
      <c r="A334" t="s">
        <v>49</v>
      </c>
      <c r="B334">
        <v>7</v>
      </c>
      <c r="C334" t="s">
        <v>226</v>
      </c>
      <c r="D334" t="s">
        <v>105</v>
      </c>
      <c r="E334" s="4">
        <f>VLOOKUP($A334,releases,2,FALSE)</f>
        <v>7</v>
      </c>
      <c r="F334" s="4" t="str">
        <f>VLOOKUP($A334,releases,3,FALSE)</f>
        <v>UK</v>
      </c>
      <c r="G334" s="4" t="str">
        <f>VLOOKUP($A334,releases,8,FALSE)</f>
        <v>Stereo</v>
      </c>
      <c r="H334" s="4" t="str">
        <f>VLOOKUP($A334,releases,4,FALSE)</f>
        <v>Revolver</v>
      </c>
    </row>
    <row r="335" spans="1:8" x14ac:dyDescent="0.25">
      <c r="A335" t="s">
        <v>49</v>
      </c>
      <c r="B335">
        <v>8</v>
      </c>
      <c r="C335" t="s">
        <v>227</v>
      </c>
      <c r="D335" t="s">
        <v>105</v>
      </c>
      <c r="E335" s="4">
        <f>VLOOKUP($A335,releases,2,FALSE)</f>
        <v>7</v>
      </c>
      <c r="F335" s="4" t="str">
        <f>VLOOKUP($A335,releases,3,FALSE)</f>
        <v>UK</v>
      </c>
      <c r="G335" s="4" t="str">
        <f>VLOOKUP($A335,releases,8,FALSE)</f>
        <v>Stereo</v>
      </c>
      <c r="H335" s="4" t="str">
        <f>VLOOKUP($A335,releases,4,FALSE)</f>
        <v>Revolver</v>
      </c>
    </row>
    <row r="336" spans="1:8" x14ac:dyDescent="0.25">
      <c r="A336" t="s">
        <v>49</v>
      </c>
      <c r="B336">
        <v>9</v>
      </c>
      <c r="C336" t="s">
        <v>228</v>
      </c>
      <c r="D336" t="s">
        <v>105</v>
      </c>
      <c r="E336" s="4">
        <f>VLOOKUP($A336,releases,2,FALSE)</f>
        <v>7</v>
      </c>
      <c r="F336" s="4" t="str">
        <f>VLOOKUP($A336,releases,3,FALSE)</f>
        <v>UK</v>
      </c>
      <c r="G336" s="4" t="str">
        <f>VLOOKUP($A336,releases,8,FALSE)</f>
        <v>Stereo</v>
      </c>
      <c r="H336" s="4" t="str">
        <f>VLOOKUP($A336,releases,4,FALSE)</f>
        <v>Revolver</v>
      </c>
    </row>
    <row r="337" spans="1:8" x14ac:dyDescent="0.25">
      <c r="A337" t="s">
        <v>49</v>
      </c>
      <c r="B337">
        <v>10</v>
      </c>
      <c r="C337" t="s">
        <v>229</v>
      </c>
      <c r="D337" t="s">
        <v>105</v>
      </c>
      <c r="E337" s="4">
        <f>VLOOKUP($A337,releases,2,FALSE)</f>
        <v>7</v>
      </c>
      <c r="F337" s="4" t="str">
        <f>VLOOKUP($A337,releases,3,FALSE)</f>
        <v>UK</v>
      </c>
      <c r="G337" s="4" t="str">
        <f>VLOOKUP($A337,releases,8,FALSE)</f>
        <v>Stereo</v>
      </c>
      <c r="H337" s="4" t="str">
        <f>VLOOKUP($A337,releases,4,FALSE)</f>
        <v>Revolver</v>
      </c>
    </row>
    <row r="338" spans="1:8" x14ac:dyDescent="0.25">
      <c r="A338" t="s">
        <v>49</v>
      </c>
      <c r="B338">
        <v>11</v>
      </c>
      <c r="C338" t="s">
        <v>230</v>
      </c>
      <c r="D338" t="s">
        <v>105</v>
      </c>
      <c r="E338" s="4">
        <f>VLOOKUP($A338,releases,2,FALSE)</f>
        <v>7</v>
      </c>
      <c r="F338" s="4" t="str">
        <f>VLOOKUP($A338,releases,3,FALSE)</f>
        <v>UK</v>
      </c>
      <c r="G338" s="4" t="str">
        <f>VLOOKUP($A338,releases,8,FALSE)</f>
        <v>Stereo</v>
      </c>
      <c r="H338" s="4" t="str">
        <f>VLOOKUP($A338,releases,4,FALSE)</f>
        <v>Revolver</v>
      </c>
    </row>
    <row r="339" spans="1:8" x14ac:dyDescent="0.25">
      <c r="A339" t="s">
        <v>49</v>
      </c>
      <c r="B339">
        <v>12</v>
      </c>
      <c r="C339" t="s">
        <v>231</v>
      </c>
      <c r="D339" t="s">
        <v>110</v>
      </c>
      <c r="E339" s="4">
        <f>VLOOKUP($A339,releases,2,FALSE)</f>
        <v>7</v>
      </c>
      <c r="F339" s="4" t="str">
        <f>VLOOKUP($A339,releases,3,FALSE)</f>
        <v>UK</v>
      </c>
      <c r="G339" s="4" t="str">
        <f>VLOOKUP($A339,releases,8,FALSE)</f>
        <v>Stereo</v>
      </c>
      <c r="H339" s="4" t="str">
        <f>VLOOKUP($A339,releases,4,FALSE)</f>
        <v>Revolver</v>
      </c>
    </row>
    <row r="340" spans="1:8" x14ac:dyDescent="0.25">
      <c r="A340" t="s">
        <v>49</v>
      </c>
      <c r="B340">
        <v>13</v>
      </c>
      <c r="C340" t="s">
        <v>232</v>
      </c>
      <c r="D340" t="s">
        <v>105</v>
      </c>
      <c r="E340" s="4">
        <f>VLOOKUP($A340,releases,2,FALSE)</f>
        <v>7</v>
      </c>
      <c r="F340" s="4" t="str">
        <f>VLOOKUP($A340,releases,3,FALSE)</f>
        <v>UK</v>
      </c>
      <c r="G340" s="4" t="str">
        <f>VLOOKUP($A340,releases,8,FALSE)</f>
        <v>Stereo</v>
      </c>
      <c r="H340" s="4" t="str">
        <f>VLOOKUP($A340,releases,4,FALSE)</f>
        <v>Revolver</v>
      </c>
    </row>
    <row r="341" spans="1:8" x14ac:dyDescent="0.25">
      <c r="A341" t="s">
        <v>49</v>
      </c>
      <c r="B341">
        <v>14</v>
      </c>
      <c r="C341" t="s">
        <v>233</v>
      </c>
      <c r="D341" t="s">
        <v>105</v>
      </c>
      <c r="E341" s="4">
        <f>VLOOKUP($A341,releases,2,FALSE)</f>
        <v>7</v>
      </c>
      <c r="F341" s="4" t="str">
        <f>VLOOKUP($A341,releases,3,FALSE)</f>
        <v>UK</v>
      </c>
      <c r="G341" s="4" t="str">
        <f>VLOOKUP($A341,releases,8,FALSE)</f>
        <v>Stereo</v>
      </c>
      <c r="H341" s="4" t="str">
        <f>VLOOKUP($A341,releases,4,FALSE)</f>
        <v>Revolver</v>
      </c>
    </row>
    <row r="342" spans="1:8" x14ac:dyDescent="0.25">
      <c r="A342" t="s">
        <v>47</v>
      </c>
      <c r="B342">
        <v>1</v>
      </c>
      <c r="C342" t="s">
        <v>221</v>
      </c>
      <c r="D342" t="s">
        <v>110</v>
      </c>
      <c r="E342" s="4">
        <f>VLOOKUP($A342,releases,2,FALSE)</f>
        <v>7</v>
      </c>
      <c r="F342" s="4" t="str">
        <f>VLOOKUP($A342,releases,3,FALSE)</f>
        <v>UK</v>
      </c>
      <c r="G342" s="4" t="str">
        <f>VLOOKUP($A342,releases,8,FALSE)</f>
        <v>Mono</v>
      </c>
      <c r="H342" s="4" t="str">
        <f>VLOOKUP($A342,releases,4,FALSE)</f>
        <v>Revolver</v>
      </c>
    </row>
    <row r="343" spans="1:8" x14ac:dyDescent="0.25">
      <c r="A343" t="s">
        <v>47</v>
      </c>
      <c r="B343">
        <v>2</v>
      </c>
      <c r="C343" t="s">
        <v>222</v>
      </c>
      <c r="D343" t="s">
        <v>105</v>
      </c>
      <c r="E343" s="4">
        <f>VLOOKUP($A343,releases,2,FALSE)</f>
        <v>7</v>
      </c>
      <c r="F343" s="4" t="str">
        <f>VLOOKUP($A343,releases,3,FALSE)</f>
        <v>UK</v>
      </c>
      <c r="G343" s="4" t="str">
        <f>VLOOKUP($A343,releases,8,FALSE)</f>
        <v>Mono</v>
      </c>
      <c r="H343" s="4" t="str">
        <f>VLOOKUP($A343,releases,4,FALSE)</f>
        <v>Revolver</v>
      </c>
    </row>
    <row r="344" spans="1:8" x14ac:dyDescent="0.25">
      <c r="A344" t="s">
        <v>47</v>
      </c>
      <c r="B344">
        <v>3</v>
      </c>
      <c r="C344" t="s">
        <v>223</v>
      </c>
      <c r="D344" t="s">
        <v>105</v>
      </c>
      <c r="E344" s="4">
        <f>VLOOKUP($A344,releases,2,FALSE)</f>
        <v>7</v>
      </c>
      <c r="F344" s="4" t="str">
        <f>VLOOKUP($A344,releases,3,FALSE)</f>
        <v>UK</v>
      </c>
      <c r="G344" s="4" t="str">
        <f>VLOOKUP($A344,releases,8,FALSE)</f>
        <v>Mono</v>
      </c>
      <c r="H344" s="4" t="str">
        <f>VLOOKUP($A344,releases,4,FALSE)</f>
        <v>Revolver</v>
      </c>
    </row>
    <row r="345" spans="1:8" x14ac:dyDescent="0.25">
      <c r="A345" t="s">
        <v>47</v>
      </c>
      <c r="B345">
        <v>4</v>
      </c>
      <c r="C345" t="s">
        <v>224</v>
      </c>
      <c r="D345" t="s">
        <v>110</v>
      </c>
      <c r="E345" s="4">
        <f>VLOOKUP($A345,releases,2,FALSE)</f>
        <v>7</v>
      </c>
      <c r="F345" s="4" t="str">
        <f>VLOOKUP($A345,releases,3,FALSE)</f>
        <v>UK</v>
      </c>
      <c r="G345" s="4" t="str">
        <f>VLOOKUP($A345,releases,8,FALSE)</f>
        <v>Mono</v>
      </c>
      <c r="H345" s="4" t="str">
        <f>VLOOKUP($A345,releases,4,FALSE)</f>
        <v>Revolver</v>
      </c>
    </row>
    <row r="346" spans="1:8" x14ac:dyDescent="0.25">
      <c r="A346" t="s">
        <v>47</v>
      </c>
      <c r="B346">
        <v>5</v>
      </c>
      <c r="C346" t="s">
        <v>225</v>
      </c>
      <c r="D346" t="s">
        <v>105</v>
      </c>
      <c r="E346" s="4">
        <f>VLOOKUP($A346,releases,2,FALSE)</f>
        <v>7</v>
      </c>
      <c r="F346" s="4" t="str">
        <f>VLOOKUP($A346,releases,3,FALSE)</f>
        <v>UK</v>
      </c>
      <c r="G346" s="4" t="str">
        <f>VLOOKUP($A346,releases,8,FALSE)</f>
        <v>Mono</v>
      </c>
      <c r="H346" s="4" t="str">
        <f>VLOOKUP($A346,releases,4,FALSE)</f>
        <v>Revolver</v>
      </c>
    </row>
    <row r="347" spans="1:8" x14ac:dyDescent="0.25">
      <c r="A347" t="s">
        <v>47</v>
      </c>
      <c r="B347">
        <v>6</v>
      </c>
      <c r="C347" t="s">
        <v>63</v>
      </c>
      <c r="D347" t="s">
        <v>105</v>
      </c>
      <c r="E347" s="4">
        <f>VLOOKUP($A347,releases,2,FALSE)</f>
        <v>7</v>
      </c>
      <c r="F347" s="4" t="str">
        <f>VLOOKUP($A347,releases,3,FALSE)</f>
        <v>UK</v>
      </c>
      <c r="G347" s="4" t="str">
        <f>VLOOKUP($A347,releases,8,FALSE)</f>
        <v>Mono</v>
      </c>
      <c r="H347" s="4" t="str">
        <f>VLOOKUP($A347,releases,4,FALSE)</f>
        <v>Revolver</v>
      </c>
    </row>
    <row r="348" spans="1:8" x14ac:dyDescent="0.25">
      <c r="A348" t="s">
        <v>47</v>
      </c>
      <c r="B348">
        <v>7</v>
      </c>
      <c r="C348" t="s">
        <v>226</v>
      </c>
      <c r="D348" t="s">
        <v>105</v>
      </c>
      <c r="E348" s="4">
        <f>VLOOKUP($A348,releases,2,FALSE)</f>
        <v>7</v>
      </c>
      <c r="F348" s="4" t="str">
        <f>VLOOKUP($A348,releases,3,FALSE)</f>
        <v>UK</v>
      </c>
      <c r="G348" s="4" t="str">
        <f>VLOOKUP($A348,releases,8,FALSE)</f>
        <v>Mono</v>
      </c>
      <c r="H348" s="4" t="str">
        <f>VLOOKUP($A348,releases,4,FALSE)</f>
        <v>Revolver</v>
      </c>
    </row>
    <row r="349" spans="1:8" x14ac:dyDescent="0.25">
      <c r="A349" t="s">
        <v>47</v>
      </c>
      <c r="B349">
        <v>8</v>
      </c>
      <c r="C349" t="s">
        <v>227</v>
      </c>
      <c r="D349" t="s">
        <v>105</v>
      </c>
      <c r="E349" s="4">
        <f>VLOOKUP($A349,releases,2,FALSE)</f>
        <v>7</v>
      </c>
      <c r="F349" s="4" t="str">
        <f>VLOOKUP($A349,releases,3,FALSE)</f>
        <v>UK</v>
      </c>
      <c r="G349" s="4" t="str">
        <f>VLOOKUP($A349,releases,8,FALSE)</f>
        <v>Mono</v>
      </c>
      <c r="H349" s="4" t="str">
        <f>VLOOKUP($A349,releases,4,FALSE)</f>
        <v>Revolver</v>
      </c>
    </row>
    <row r="350" spans="1:8" x14ac:dyDescent="0.25">
      <c r="A350" t="s">
        <v>47</v>
      </c>
      <c r="B350">
        <v>9</v>
      </c>
      <c r="C350" t="s">
        <v>228</v>
      </c>
      <c r="D350" t="s">
        <v>105</v>
      </c>
      <c r="E350" s="4">
        <f>VLOOKUP($A350,releases,2,FALSE)</f>
        <v>7</v>
      </c>
      <c r="F350" s="4" t="str">
        <f>VLOOKUP($A350,releases,3,FALSE)</f>
        <v>UK</v>
      </c>
      <c r="G350" s="4" t="str">
        <f>VLOOKUP($A350,releases,8,FALSE)</f>
        <v>Mono</v>
      </c>
      <c r="H350" s="4" t="str">
        <f>VLOOKUP($A350,releases,4,FALSE)</f>
        <v>Revolver</v>
      </c>
    </row>
    <row r="351" spans="1:8" x14ac:dyDescent="0.25">
      <c r="A351" t="s">
        <v>47</v>
      </c>
      <c r="B351">
        <v>10</v>
      </c>
      <c r="C351" t="s">
        <v>229</v>
      </c>
      <c r="D351" t="s">
        <v>105</v>
      </c>
      <c r="E351" s="4">
        <f>VLOOKUP($A351,releases,2,FALSE)</f>
        <v>7</v>
      </c>
      <c r="F351" s="4" t="str">
        <f>VLOOKUP($A351,releases,3,FALSE)</f>
        <v>UK</v>
      </c>
      <c r="G351" s="4" t="str">
        <f>VLOOKUP($A351,releases,8,FALSE)</f>
        <v>Mono</v>
      </c>
      <c r="H351" s="4" t="str">
        <f>VLOOKUP($A351,releases,4,FALSE)</f>
        <v>Revolver</v>
      </c>
    </row>
    <row r="352" spans="1:8" x14ac:dyDescent="0.25">
      <c r="A352" t="s">
        <v>47</v>
      </c>
      <c r="B352">
        <v>11</v>
      </c>
      <c r="C352" t="s">
        <v>230</v>
      </c>
      <c r="D352" t="s">
        <v>105</v>
      </c>
      <c r="E352" s="4">
        <f>VLOOKUP($A352,releases,2,FALSE)</f>
        <v>7</v>
      </c>
      <c r="F352" s="4" t="str">
        <f>VLOOKUP($A352,releases,3,FALSE)</f>
        <v>UK</v>
      </c>
      <c r="G352" s="4" t="str">
        <f>VLOOKUP($A352,releases,8,FALSE)</f>
        <v>Mono</v>
      </c>
      <c r="H352" s="4" t="str">
        <f>VLOOKUP($A352,releases,4,FALSE)</f>
        <v>Revolver</v>
      </c>
    </row>
    <row r="353" spans="1:8" x14ac:dyDescent="0.25">
      <c r="A353" t="s">
        <v>47</v>
      </c>
      <c r="B353">
        <v>12</v>
      </c>
      <c r="C353" t="s">
        <v>231</v>
      </c>
      <c r="D353" t="s">
        <v>110</v>
      </c>
      <c r="E353" s="4">
        <f>VLOOKUP($A353,releases,2,FALSE)</f>
        <v>7</v>
      </c>
      <c r="F353" s="4" t="str">
        <f>VLOOKUP($A353,releases,3,FALSE)</f>
        <v>UK</v>
      </c>
      <c r="G353" s="4" t="str">
        <f>VLOOKUP($A353,releases,8,FALSE)</f>
        <v>Mono</v>
      </c>
      <c r="H353" s="4" t="str">
        <f>VLOOKUP($A353,releases,4,FALSE)</f>
        <v>Revolver</v>
      </c>
    </row>
    <row r="354" spans="1:8" x14ac:dyDescent="0.25">
      <c r="A354" t="s">
        <v>47</v>
      </c>
      <c r="B354">
        <v>13</v>
      </c>
      <c r="C354" t="s">
        <v>232</v>
      </c>
      <c r="D354" t="s">
        <v>105</v>
      </c>
      <c r="E354" s="4">
        <f>VLOOKUP($A354,releases,2,FALSE)</f>
        <v>7</v>
      </c>
      <c r="F354" s="4" t="str">
        <f>VLOOKUP($A354,releases,3,FALSE)</f>
        <v>UK</v>
      </c>
      <c r="G354" s="4" t="str">
        <f>VLOOKUP($A354,releases,8,FALSE)</f>
        <v>Mono</v>
      </c>
      <c r="H354" s="4" t="str">
        <f>VLOOKUP($A354,releases,4,FALSE)</f>
        <v>Revolver</v>
      </c>
    </row>
    <row r="355" spans="1:8" x14ac:dyDescent="0.25">
      <c r="A355" t="s">
        <v>47</v>
      </c>
      <c r="B355">
        <v>14</v>
      </c>
      <c r="C355" t="s">
        <v>233</v>
      </c>
      <c r="D355" t="s">
        <v>105</v>
      </c>
      <c r="E355" s="4">
        <f>VLOOKUP($A355,releases,2,FALSE)</f>
        <v>7</v>
      </c>
      <c r="F355" s="4" t="str">
        <f>VLOOKUP($A355,releases,3,FALSE)</f>
        <v>UK</v>
      </c>
      <c r="G355" s="4" t="str">
        <f>VLOOKUP($A355,releases,8,FALSE)</f>
        <v>Mono</v>
      </c>
      <c r="H355" s="4" t="str">
        <f>VLOOKUP($A355,releases,4,FALSE)</f>
        <v>Revolver</v>
      </c>
    </row>
    <row r="356" spans="1:8" x14ac:dyDescent="0.25">
      <c r="A356" t="s">
        <v>55</v>
      </c>
      <c r="B356">
        <v>1</v>
      </c>
      <c r="C356" t="s">
        <v>53</v>
      </c>
      <c r="D356" t="s">
        <v>105</v>
      </c>
      <c r="E356" s="4">
        <f>VLOOKUP($A356,releases,2,FALSE)</f>
        <v>8</v>
      </c>
      <c r="F356" s="4" t="str">
        <f>VLOOKUP($A356,releases,3,FALSE)</f>
        <v>US</v>
      </c>
      <c r="G356" s="4" t="str">
        <f>VLOOKUP($A356,releases,8,FALSE)</f>
        <v>Mono</v>
      </c>
      <c r="H356" s="4" t="str">
        <f>VLOOKUP($A356,releases,4,FALSE)</f>
        <v>Sgt. Pepper's Lonely Hearts Club Band</v>
      </c>
    </row>
    <row r="357" spans="1:8" x14ac:dyDescent="0.25">
      <c r="A357" t="s">
        <v>55</v>
      </c>
      <c r="B357">
        <v>2</v>
      </c>
      <c r="C357" t="s">
        <v>234</v>
      </c>
      <c r="D357" t="s">
        <v>105</v>
      </c>
      <c r="E357" s="4">
        <f>VLOOKUP($A357,releases,2,FALSE)</f>
        <v>8</v>
      </c>
      <c r="F357" s="4" t="str">
        <f>VLOOKUP($A357,releases,3,FALSE)</f>
        <v>US</v>
      </c>
      <c r="G357" s="4" t="str">
        <f>VLOOKUP($A357,releases,8,FALSE)</f>
        <v>Mono</v>
      </c>
      <c r="H357" s="4" t="str">
        <f>VLOOKUP($A357,releases,4,FALSE)</f>
        <v>Sgt. Pepper's Lonely Hearts Club Band</v>
      </c>
    </row>
    <row r="358" spans="1:8" x14ac:dyDescent="0.25">
      <c r="A358" t="s">
        <v>55</v>
      </c>
      <c r="B358">
        <v>3</v>
      </c>
      <c r="C358" t="s">
        <v>235</v>
      </c>
      <c r="D358" t="s">
        <v>105</v>
      </c>
      <c r="E358" s="4">
        <f>VLOOKUP($A358,releases,2,FALSE)</f>
        <v>8</v>
      </c>
      <c r="F358" s="4" t="str">
        <f>VLOOKUP($A358,releases,3,FALSE)</f>
        <v>US</v>
      </c>
      <c r="G358" s="4" t="str">
        <f>VLOOKUP($A358,releases,8,FALSE)</f>
        <v>Mono</v>
      </c>
      <c r="H358" s="4" t="str">
        <f>VLOOKUP($A358,releases,4,FALSE)</f>
        <v>Sgt. Pepper's Lonely Hearts Club Band</v>
      </c>
    </row>
    <row r="359" spans="1:8" x14ac:dyDescent="0.25">
      <c r="A359" t="s">
        <v>55</v>
      </c>
      <c r="B359">
        <v>4</v>
      </c>
      <c r="C359" t="s">
        <v>236</v>
      </c>
      <c r="D359" t="s">
        <v>105</v>
      </c>
      <c r="E359" s="4">
        <f>VLOOKUP($A359,releases,2,FALSE)</f>
        <v>8</v>
      </c>
      <c r="F359" s="4" t="str">
        <f>VLOOKUP($A359,releases,3,FALSE)</f>
        <v>US</v>
      </c>
      <c r="G359" s="4" t="str">
        <f>VLOOKUP($A359,releases,8,FALSE)</f>
        <v>Mono</v>
      </c>
      <c r="H359" s="4" t="str">
        <f>VLOOKUP($A359,releases,4,FALSE)</f>
        <v>Sgt. Pepper's Lonely Hearts Club Band</v>
      </c>
    </row>
    <row r="360" spans="1:8" x14ac:dyDescent="0.25">
      <c r="A360" t="s">
        <v>55</v>
      </c>
      <c r="B360">
        <v>5</v>
      </c>
      <c r="C360" t="s">
        <v>237</v>
      </c>
      <c r="D360" t="s">
        <v>105</v>
      </c>
      <c r="E360" s="4">
        <f>VLOOKUP($A360,releases,2,FALSE)</f>
        <v>8</v>
      </c>
      <c r="F360" s="4" t="str">
        <f>VLOOKUP($A360,releases,3,FALSE)</f>
        <v>US</v>
      </c>
      <c r="G360" s="4" t="str">
        <f>VLOOKUP($A360,releases,8,FALSE)</f>
        <v>Mono</v>
      </c>
      <c r="H360" s="4" t="str">
        <f>VLOOKUP($A360,releases,4,FALSE)</f>
        <v>Sgt. Pepper's Lonely Hearts Club Band</v>
      </c>
    </row>
    <row r="361" spans="1:8" x14ac:dyDescent="0.25">
      <c r="A361" t="s">
        <v>55</v>
      </c>
      <c r="B361">
        <v>6</v>
      </c>
      <c r="C361" t="s">
        <v>238</v>
      </c>
      <c r="D361" t="s">
        <v>105</v>
      </c>
      <c r="E361" s="4">
        <f>VLOOKUP($A361,releases,2,FALSE)</f>
        <v>8</v>
      </c>
      <c r="F361" s="4" t="str">
        <f>VLOOKUP($A361,releases,3,FALSE)</f>
        <v>US</v>
      </c>
      <c r="G361" s="4" t="str">
        <f>VLOOKUP($A361,releases,8,FALSE)</f>
        <v>Mono</v>
      </c>
      <c r="H361" s="4" t="str">
        <f>VLOOKUP($A361,releases,4,FALSE)</f>
        <v>Sgt. Pepper's Lonely Hearts Club Band</v>
      </c>
    </row>
    <row r="362" spans="1:8" x14ac:dyDescent="0.25">
      <c r="A362" t="s">
        <v>55</v>
      </c>
      <c r="B362">
        <v>7</v>
      </c>
      <c r="C362" t="s">
        <v>239</v>
      </c>
      <c r="D362" t="s">
        <v>105</v>
      </c>
      <c r="E362" s="4">
        <f>VLOOKUP($A362,releases,2,FALSE)</f>
        <v>8</v>
      </c>
      <c r="F362" s="4" t="str">
        <f>VLOOKUP($A362,releases,3,FALSE)</f>
        <v>US</v>
      </c>
      <c r="G362" s="4" t="str">
        <f>VLOOKUP($A362,releases,8,FALSE)</f>
        <v>Mono</v>
      </c>
      <c r="H362" s="4" t="str">
        <f>VLOOKUP($A362,releases,4,FALSE)</f>
        <v>Sgt. Pepper's Lonely Hearts Club Band</v>
      </c>
    </row>
    <row r="363" spans="1:8" x14ac:dyDescent="0.25">
      <c r="A363" t="s">
        <v>55</v>
      </c>
      <c r="B363">
        <v>8</v>
      </c>
      <c r="C363" t="s">
        <v>240</v>
      </c>
      <c r="D363" t="s">
        <v>110</v>
      </c>
      <c r="E363" s="4">
        <f>VLOOKUP($A363,releases,2,FALSE)</f>
        <v>8</v>
      </c>
      <c r="F363" s="4" t="str">
        <f>VLOOKUP($A363,releases,3,FALSE)</f>
        <v>US</v>
      </c>
      <c r="G363" s="4" t="str">
        <f>VLOOKUP($A363,releases,8,FALSE)</f>
        <v>Mono</v>
      </c>
      <c r="H363" s="4" t="str">
        <f>VLOOKUP($A363,releases,4,FALSE)</f>
        <v>Sgt. Pepper's Lonely Hearts Club Band</v>
      </c>
    </row>
    <row r="364" spans="1:8" x14ac:dyDescent="0.25">
      <c r="A364" t="s">
        <v>55</v>
      </c>
      <c r="B364">
        <v>9</v>
      </c>
      <c r="C364" t="s">
        <v>241</v>
      </c>
      <c r="D364" t="s">
        <v>105</v>
      </c>
      <c r="E364" s="4">
        <f>VLOOKUP($A364,releases,2,FALSE)</f>
        <v>8</v>
      </c>
      <c r="F364" s="4" t="str">
        <f>VLOOKUP($A364,releases,3,FALSE)</f>
        <v>US</v>
      </c>
      <c r="G364" s="4" t="str">
        <f>VLOOKUP($A364,releases,8,FALSE)</f>
        <v>Mono</v>
      </c>
      <c r="H364" s="4" t="str">
        <f>VLOOKUP($A364,releases,4,FALSE)</f>
        <v>Sgt. Pepper's Lonely Hearts Club Band</v>
      </c>
    </row>
    <row r="365" spans="1:8" x14ac:dyDescent="0.25">
      <c r="A365" t="s">
        <v>55</v>
      </c>
      <c r="B365">
        <v>10</v>
      </c>
      <c r="C365" t="s">
        <v>242</v>
      </c>
      <c r="D365" t="s">
        <v>105</v>
      </c>
      <c r="E365" s="4">
        <f>VLOOKUP($A365,releases,2,FALSE)</f>
        <v>8</v>
      </c>
      <c r="F365" s="4" t="str">
        <f>VLOOKUP($A365,releases,3,FALSE)</f>
        <v>US</v>
      </c>
      <c r="G365" s="4" t="str">
        <f>VLOOKUP($A365,releases,8,FALSE)</f>
        <v>Mono</v>
      </c>
      <c r="H365" s="4" t="str">
        <f>VLOOKUP($A365,releases,4,FALSE)</f>
        <v>Sgt. Pepper's Lonely Hearts Club Band</v>
      </c>
    </row>
    <row r="366" spans="1:8" x14ac:dyDescent="0.25">
      <c r="A366" t="s">
        <v>55</v>
      </c>
      <c r="B366">
        <v>11</v>
      </c>
      <c r="C366" t="s">
        <v>243</v>
      </c>
      <c r="D366" t="s">
        <v>105</v>
      </c>
      <c r="E366" s="4">
        <f>VLOOKUP($A366,releases,2,FALSE)</f>
        <v>8</v>
      </c>
      <c r="F366" s="4" t="str">
        <f>VLOOKUP($A366,releases,3,FALSE)</f>
        <v>US</v>
      </c>
      <c r="G366" s="4" t="str">
        <f>VLOOKUP($A366,releases,8,FALSE)</f>
        <v>Mono</v>
      </c>
      <c r="H366" s="4" t="str">
        <f>VLOOKUP($A366,releases,4,FALSE)</f>
        <v>Sgt. Pepper's Lonely Hearts Club Band</v>
      </c>
    </row>
    <row r="367" spans="1:8" x14ac:dyDescent="0.25">
      <c r="A367" t="s">
        <v>55</v>
      </c>
      <c r="B367">
        <v>12</v>
      </c>
      <c r="C367" t="s">
        <v>244</v>
      </c>
      <c r="D367" t="s">
        <v>105</v>
      </c>
      <c r="E367" s="4">
        <f>VLOOKUP($A367,releases,2,FALSE)</f>
        <v>8</v>
      </c>
      <c r="F367" s="4" t="str">
        <f>VLOOKUP($A367,releases,3,FALSE)</f>
        <v>US</v>
      </c>
      <c r="G367" s="4" t="str">
        <f>VLOOKUP($A367,releases,8,FALSE)</f>
        <v>Mono</v>
      </c>
      <c r="H367" s="4" t="str">
        <f>VLOOKUP($A367,releases,4,FALSE)</f>
        <v>Sgt. Pepper's Lonely Hearts Club Band</v>
      </c>
    </row>
    <row r="368" spans="1:8" x14ac:dyDescent="0.25">
      <c r="A368" t="s">
        <v>55</v>
      </c>
      <c r="B368">
        <v>13</v>
      </c>
      <c r="C368" t="s">
        <v>245</v>
      </c>
      <c r="D368" t="s">
        <v>105</v>
      </c>
      <c r="E368" s="4">
        <f>VLOOKUP($A368,releases,2,FALSE)</f>
        <v>8</v>
      </c>
      <c r="F368" s="4" t="str">
        <f>VLOOKUP($A368,releases,3,FALSE)</f>
        <v>US</v>
      </c>
      <c r="G368" s="4" t="str">
        <f>VLOOKUP($A368,releases,8,FALSE)</f>
        <v>Mono</v>
      </c>
      <c r="H368" s="4" t="str">
        <f>VLOOKUP($A368,releases,4,FALSE)</f>
        <v>Sgt. Pepper's Lonely Hearts Club Band</v>
      </c>
    </row>
    <row r="369" spans="1:8" x14ac:dyDescent="0.25">
      <c r="A369" t="s">
        <v>56</v>
      </c>
      <c r="B369">
        <v>1</v>
      </c>
      <c r="C369" t="s">
        <v>53</v>
      </c>
      <c r="D369" t="s">
        <v>105</v>
      </c>
      <c r="E369" s="4">
        <f>VLOOKUP($A369,releases,2,FALSE)</f>
        <v>8</v>
      </c>
      <c r="F369" s="4" t="str">
        <f>VLOOKUP($A369,releases,3,FALSE)</f>
        <v>US</v>
      </c>
      <c r="G369" s="4" t="str">
        <f>VLOOKUP($A369,releases,8,FALSE)</f>
        <v>Stereo</v>
      </c>
      <c r="H369" s="4" t="str">
        <f>VLOOKUP($A369,releases,4,FALSE)</f>
        <v>Sgt. Pepper's Lonely Hearts Club Band</v>
      </c>
    </row>
    <row r="370" spans="1:8" x14ac:dyDescent="0.25">
      <c r="A370" t="s">
        <v>56</v>
      </c>
      <c r="B370">
        <v>2</v>
      </c>
      <c r="C370" t="s">
        <v>234</v>
      </c>
      <c r="D370" t="s">
        <v>105</v>
      </c>
      <c r="E370" s="4">
        <f>VLOOKUP($A370,releases,2,FALSE)</f>
        <v>8</v>
      </c>
      <c r="F370" s="4" t="str">
        <f>VLOOKUP($A370,releases,3,FALSE)</f>
        <v>US</v>
      </c>
      <c r="G370" s="4" t="str">
        <f>VLOOKUP($A370,releases,8,FALSE)</f>
        <v>Stereo</v>
      </c>
      <c r="H370" s="4" t="str">
        <f>VLOOKUP($A370,releases,4,FALSE)</f>
        <v>Sgt. Pepper's Lonely Hearts Club Band</v>
      </c>
    </row>
    <row r="371" spans="1:8" x14ac:dyDescent="0.25">
      <c r="A371" t="s">
        <v>56</v>
      </c>
      <c r="B371">
        <v>3</v>
      </c>
      <c r="C371" t="s">
        <v>235</v>
      </c>
      <c r="D371" t="s">
        <v>105</v>
      </c>
      <c r="E371" s="4">
        <f>VLOOKUP($A371,releases,2,FALSE)</f>
        <v>8</v>
      </c>
      <c r="F371" s="4" t="str">
        <f>VLOOKUP($A371,releases,3,FALSE)</f>
        <v>US</v>
      </c>
      <c r="G371" s="4" t="str">
        <f>VLOOKUP($A371,releases,8,FALSE)</f>
        <v>Stereo</v>
      </c>
      <c r="H371" s="4" t="str">
        <f>VLOOKUP($A371,releases,4,FALSE)</f>
        <v>Sgt. Pepper's Lonely Hearts Club Band</v>
      </c>
    </row>
    <row r="372" spans="1:8" x14ac:dyDescent="0.25">
      <c r="A372" t="s">
        <v>56</v>
      </c>
      <c r="B372">
        <v>4</v>
      </c>
      <c r="C372" t="s">
        <v>236</v>
      </c>
      <c r="D372" t="s">
        <v>105</v>
      </c>
      <c r="E372" s="4">
        <f>VLOOKUP($A372,releases,2,FALSE)</f>
        <v>8</v>
      </c>
      <c r="F372" s="4" t="str">
        <f>VLOOKUP($A372,releases,3,FALSE)</f>
        <v>US</v>
      </c>
      <c r="G372" s="4" t="str">
        <f>VLOOKUP($A372,releases,8,FALSE)</f>
        <v>Stereo</v>
      </c>
      <c r="H372" s="4" t="str">
        <f>VLOOKUP($A372,releases,4,FALSE)</f>
        <v>Sgt. Pepper's Lonely Hearts Club Band</v>
      </c>
    </row>
    <row r="373" spans="1:8" x14ac:dyDescent="0.25">
      <c r="A373" t="s">
        <v>56</v>
      </c>
      <c r="B373">
        <v>5</v>
      </c>
      <c r="C373" t="s">
        <v>237</v>
      </c>
      <c r="D373" t="s">
        <v>105</v>
      </c>
      <c r="E373" s="4">
        <f>VLOOKUP($A373,releases,2,FALSE)</f>
        <v>8</v>
      </c>
      <c r="F373" s="4" t="str">
        <f>VLOOKUP($A373,releases,3,FALSE)</f>
        <v>US</v>
      </c>
      <c r="G373" s="4" t="str">
        <f>VLOOKUP($A373,releases,8,FALSE)</f>
        <v>Stereo</v>
      </c>
      <c r="H373" s="4" t="str">
        <f>VLOOKUP($A373,releases,4,FALSE)</f>
        <v>Sgt. Pepper's Lonely Hearts Club Band</v>
      </c>
    </row>
    <row r="374" spans="1:8" x14ac:dyDescent="0.25">
      <c r="A374" t="s">
        <v>56</v>
      </c>
      <c r="B374">
        <v>6</v>
      </c>
      <c r="C374" t="s">
        <v>238</v>
      </c>
      <c r="D374" t="s">
        <v>105</v>
      </c>
      <c r="E374" s="4">
        <f>VLOOKUP($A374,releases,2,FALSE)</f>
        <v>8</v>
      </c>
      <c r="F374" s="4" t="str">
        <f>VLOOKUP($A374,releases,3,FALSE)</f>
        <v>US</v>
      </c>
      <c r="G374" s="4" t="str">
        <f>VLOOKUP($A374,releases,8,FALSE)</f>
        <v>Stereo</v>
      </c>
      <c r="H374" s="4" t="str">
        <f>VLOOKUP($A374,releases,4,FALSE)</f>
        <v>Sgt. Pepper's Lonely Hearts Club Band</v>
      </c>
    </row>
    <row r="375" spans="1:8" x14ac:dyDescent="0.25">
      <c r="A375" t="s">
        <v>56</v>
      </c>
      <c r="B375">
        <v>7</v>
      </c>
      <c r="C375" t="s">
        <v>239</v>
      </c>
      <c r="D375" t="s">
        <v>105</v>
      </c>
      <c r="E375" s="4">
        <f>VLOOKUP($A375,releases,2,FALSE)</f>
        <v>8</v>
      </c>
      <c r="F375" s="4" t="str">
        <f>VLOOKUP($A375,releases,3,FALSE)</f>
        <v>US</v>
      </c>
      <c r="G375" s="4" t="str">
        <f>VLOOKUP($A375,releases,8,FALSE)</f>
        <v>Stereo</v>
      </c>
      <c r="H375" s="4" t="str">
        <f>VLOOKUP($A375,releases,4,FALSE)</f>
        <v>Sgt. Pepper's Lonely Hearts Club Band</v>
      </c>
    </row>
    <row r="376" spans="1:8" x14ac:dyDescent="0.25">
      <c r="A376" t="s">
        <v>56</v>
      </c>
      <c r="B376">
        <v>8</v>
      </c>
      <c r="C376" t="s">
        <v>240</v>
      </c>
      <c r="D376" t="s">
        <v>110</v>
      </c>
      <c r="E376" s="4">
        <f>VLOOKUP($A376,releases,2,FALSE)</f>
        <v>8</v>
      </c>
      <c r="F376" s="4" t="str">
        <f>VLOOKUP($A376,releases,3,FALSE)</f>
        <v>US</v>
      </c>
      <c r="G376" s="4" t="str">
        <f>VLOOKUP($A376,releases,8,FALSE)</f>
        <v>Stereo</v>
      </c>
      <c r="H376" s="4" t="str">
        <f>VLOOKUP($A376,releases,4,FALSE)</f>
        <v>Sgt. Pepper's Lonely Hearts Club Band</v>
      </c>
    </row>
    <row r="377" spans="1:8" x14ac:dyDescent="0.25">
      <c r="A377" t="s">
        <v>56</v>
      </c>
      <c r="B377">
        <v>9</v>
      </c>
      <c r="C377" t="s">
        <v>241</v>
      </c>
      <c r="D377" t="s">
        <v>105</v>
      </c>
      <c r="E377" s="4">
        <f>VLOOKUP($A377,releases,2,FALSE)</f>
        <v>8</v>
      </c>
      <c r="F377" s="4" t="str">
        <f>VLOOKUP($A377,releases,3,FALSE)</f>
        <v>US</v>
      </c>
      <c r="G377" s="4" t="str">
        <f>VLOOKUP($A377,releases,8,FALSE)</f>
        <v>Stereo</v>
      </c>
      <c r="H377" s="4" t="str">
        <f>VLOOKUP($A377,releases,4,FALSE)</f>
        <v>Sgt. Pepper's Lonely Hearts Club Band</v>
      </c>
    </row>
    <row r="378" spans="1:8" x14ac:dyDescent="0.25">
      <c r="A378" t="s">
        <v>56</v>
      </c>
      <c r="B378">
        <v>10</v>
      </c>
      <c r="C378" t="s">
        <v>242</v>
      </c>
      <c r="D378" t="s">
        <v>105</v>
      </c>
      <c r="E378" s="4">
        <f>VLOOKUP($A378,releases,2,FALSE)</f>
        <v>8</v>
      </c>
      <c r="F378" s="4" t="str">
        <f>VLOOKUP($A378,releases,3,FALSE)</f>
        <v>US</v>
      </c>
      <c r="G378" s="4" t="str">
        <f>VLOOKUP($A378,releases,8,FALSE)</f>
        <v>Stereo</v>
      </c>
      <c r="H378" s="4" t="str">
        <f>VLOOKUP($A378,releases,4,FALSE)</f>
        <v>Sgt. Pepper's Lonely Hearts Club Band</v>
      </c>
    </row>
    <row r="379" spans="1:8" x14ac:dyDescent="0.25">
      <c r="A379" t="s">
        <v>56</v>
      </c>
      <c r="B379">
        <v>11</v>
      </c>
      <c r="C379" t="s">
        <v>243</v>
      </c>
      <c r="D379" t="s">
        <v>105</v>
      </c>
      <c r="E379" s="4">
        <f>VLOOKUP($A379,releases,2,FALSE)</f>
        <v>8</v>
      </c>
      <c r="F379" s="4" t="str">
        <f>VLOOKUP($A379,releases,3,FALSE)</f>
        <v>US</v>
      </c>
      <c r="G379" s="4" t="str">
        <f>VLOOKUP($A379,releases,8,FALSE)</f>
        <v>Stereo</v>
      </c>
      <c r="H379" s="4" t="str">
        <f>VLOOKUP($A379,releases,4,FALSE)</f>
        <v>Sgt. Pepper's Lonely Hearts Club Band</v>
      </c>
    </row>
    <row r="380" spans="1:8" x14ac:dyDescent="0.25">
      <c r="A380" t="s">
        <v>56</v>
      </c>
      <c r="B380">
        <v>12</v>
      </c>
      <c r="C380" t="s">
        <v>244</v>
      </c>
      <c r="D380" t="s">
        <v>105</v>
      </c>
      <c r="E380" s="4">
        <f>VLOOKUP($A380,releases,2,FALSE)</f>
        <v>8</v>
      </c>
      <c r="F380" s="4" t="str">
        <f>VLOOKUP($A380,releases,3,FALSE)</f>
        <v>US</v>
      </c>
      <c r="G380" s="4" t="str">
        <f>VLOOKUP($A380,releases,8,FALSE)</f>
        <v>Stereo</v>
      </c>
      <c r="H380" s="4" t="str">
        <f>VLOOKUP($A380,releases,4,FALSE)</f>
        <v>Sgt. Pepper's Lonely Hearts Club Band</v>
      </c>
    </row>
    <row r="381" spans="1:8" x14ac:dyDescent="0.25">
      <c r="A381" t="s">
        <v>56</v>
      </c>
      <c r="B381">
        <v>13</v>
      </c>
      <c r="C381" t="s">
        <v>245</v>
      </c>
      <c r="D381" t="s">
        <v>105</v>
      </c>
      <c r="E381" s="4">
        <f>VLOOKUP($A381,releases,2,FALSE)</f>
        <v>8</v>
      </c>
      <c r="F381" s="4" t="str">
        <f>VLOOKUP($A381,releases,3,FALSE)</f>
        <v>US</v>
      </c>
      <c r="G381" s="4" t="str">
        <f>VLOOKUP($A381,releases,8,FALSE)</f>
        <v>Stereo</v>
      </c>
      <c r="H381" s="4" t="str">
        <f>VLOOKUP($A381,releases,4,FALSE)</f>
        <v>Sgt. Pepper's Lonely Hearts Club Band</v>
      </c>
    </row>
    <row r="382" spans="1:8" x14ac:dyDescent="0.25">
      <c r="A382" t="s">
        <v>54</v>
      </c>
      <c r="B382">
        <v>1</v>
      </c>
      <c r="C382" t="s">
        <v>53</v>
      </c>
      <c r="D382" t="s">
        <v>105</v>
      </c>
      <c r="E382" s="4">
        <f>VLOOKUP($A382,releases,2,FALSE)</f>
        <v>8</v>
      </c>
      <c r="F382" s="4" t="str">
        <f>VLOOKUP($A382,releases,3,FALSE)</f>
        <v>UK</v>
      </c>
      <c r="G382" s="4" t="str">
        <f>VLOOKUP($A382,releases,8,FALSE)</f>
        <v>Stereo</v>
      </c>
      <c r="H382" s="4" t="str">
        <f>VLOOKUP($A382,releases,4,FALSE)</f>
        <v>Sgt. Pepper's Lonely Hearts Club Band</v>
      </c>
    </row>
    <row r="383" spans="1:8" x14ac:dyDescent="0.25">
      <c r="A383" t="s">
        <v>54</v>
      </c>
      <c r="B383">
        <v>2</v>
      </c>
      <c r="C383" t="s">
        <v>234</v>
      </c>
      <c r="D383" t="s">
        <v>105</v>
      </c>
      <c r="E383" s="4">
        <f>VLOOKUP($A383,releases,2,FALSE)</f>
        <v>8</v>
      </c>
      <c r="F383" s="4" t="str">
        <f>VLOOKUP($A383,releases,3,FALSE)</f>
        <v>UK</v>
      </c>
      <c r="G383" s="4" t="str">
        <f>VLOOKUP($A383,releases,8,FALSE)</f>
        <v>Stereo</v>
      </c>
      <c r="H383" s="4" t="str">
        <f>VLOOKUP($A383,releases,4,FALSE)</f>
        <v>Sgt. Pepper's Lonely Hearts Club Band</v>
      </c>
    </row>
    <row r="384" spans="1:8" x14ac:dyDescent="0.25">
      <c r="A384" t="s">
        <v>54</v>
      </c>
      <c r="B384">
        <v>3</v>
      </c>
      <c r="C384" t="s">
        <v>235</v>
      </c>
      <c r="D384" t="s">
        <v>105</v>
      </c>
      <c r="E384" s="4">
        <f>VLOOKUP($A384,releases,2,FALSE)</f>
        <v>8</v>
      </c>
      <c r="F384" s="4" t="str">
        <f>VLOOKUP($A384,releases,3,FALSE)</f>
        <v>UK</v>
      </c>
      <c r="G384" s="4" t="str">
        <f>VLOOKUP($A384,releases,8,FALSE)</f>
        <v>Stereo</v>
      </c>
      <c r="H384" s="4" t="str">
        <f>VLOOKUP($A384,releases,4,FALSE)</f>
        <v>Sgt. Pepper's Lonely Hearts Club Band</v>
      </c>
    </row>
    <row r="385" spans="1:8" x14ac:dyDescent="0.25">
      <c r="A385" t="s">
        <v>54</v>
      </c>
      <c r="B385">
        <v>4</v>
      </c>
      <c r="C385" t="s">
        <v>236</v>
      </c>
      <c r="D385" t="s">
        <v>105</v>
      </c>
      <c r="E385" s="4">
        <f>VLOOKUP($A385,releases,2,FALSE)</f>
        <v>8</v>
      </c>
      <c r="F385" s="4" t="str">
        <f>VLOOKUP($A385,releases,3,FALSE)</f>
        <v>UK</v>
      </c>
      <c r="G385" s="4" t="str">
        <f>VLOOKUP($A385,releases,8,FALSE)</f>
        <v>Stereo</v>
      </c>
      <c r="H385" s="4" t="str">
        <f>VLOOKUP($A385,releases,4,FALSE)</f>
        <v>Sgt. Pepper's Lonely Hearts Club Band</v>
      </c>
    </row>
    <row r="386" spans="1:8" x14ac:dyDescent="0.25">
      <c r="A386" t="s">
        <v>54</v>
      </c>
      <c r="B386">
        <v>5</v>
      </c>
      <c r="C386" t="s">
        <v>237</v>
      </c>
      <c r="D386" t="s">
        <v>105</v>
      </c>
      <c r="E386" s="4">
        <f>VLOOKUP($A386,releases,2,FALSE)</f>
        <v>8</v>
      </c>
      <c r="F386" s="4" t="str">
        <f>VLOOKUP($A386,releases,3,FALSE)</f>
        <v>UK</v>
      </c>
      <c r="G386" s="4" t="str">
        <f>VLOOKUP($A386,releases,8,FALSE)</f>
        <v>Stereo</v>
      </c>
      <c r="H386" s="4" t="str">
        <f>VLOOKUP($A386,releases,4,FALSE)</f>
        <v>Sgt. Pepper's Lonely Hearts Club Band</v>
      </c>
    </row>
    <row r="387" spans="1:8" x14ac:dyDescent="0.25">
      <c r="A387" t="s">
        <v>54</v>
      </c>
      <c r="B387">
        <v>6</v>
      </c>
      <c r="C387" t="s">
        <v>238</v>
      </c>
      <c r="D387" t="s">
        <v>105</v>
      </c>
      <c r="E387" s="4">
        <f>VLOOKUP($A387,releases,2,FALSE)</f>
        <v>8</v>
      </c>
      <c r="F387" s="4" t="str">
        <f>VLOOKUP($A387,releases,3,FALSE)</f>
        <v>UK</v>
      </c>
      <c r="G387" s="4" t="str">
        <f>VLOOKUP($A387,releases,8,FALSE)</f>
        <v>Stereo</v>
      </c>
      <c r="H387" s="4" t="str">
        <f>VLOOKUP($A387,releases,4,FALSE)</f>
        <v>Sgt. Pepper's Lonely Hearts Club Band</v>
      </c>
    </row>
    <row r="388" spans="1:8" x14ac:dyDescent="0.25">
      <c r="A388" t="s">
        <v>54</v>
      </c>
      <c r="B388">
        <v>7</v>
      </c>
      <c r="C388" t="s">
        <v>239</v>
      </c>
      <c r="D388" t="s">
        <v>105</v>
      </c>
      <c r="E388" s="4">
        <f>VLOOKUP($A388,releases,2,FALSE)</f>
        <v>8</v>
      </c>
      <c r="F388" s="4" t="str">
        <f>VLOOKUP($A388,releases,3,FALSE)</f>
        <v>UK</v>
      </c>
      <c r="G388" s="4" t="str">
        <f>VLOOKUP($A388,releases,8,FALSE)</f>
        <v>Stereo</v>
      </c>
      <c r="H388" s="4" t="str">
        <f>VLOOKUP($A388,releases,4,FALSE)</f>
        <v>Sgt. Pepper's Lonely Hearts Club Band</v>
      </c>
    </row>
    <row r="389" spans="1:8" x14ac:dyDescent="0.25">
      <c r="A389" t="s">
        <v>54</v>
      </c>
      <c r="B389">
        <v>8</v>
      </c>
      <c r="C389" t="s">
        <v>240</v>
      </c>
      <c r="D389" t="s">
        <v>110</v>
      </c>
      <c r="E389" s="4">
        <f>VLOOKUP($A389,releases,2,FALSE)</f>
        <v>8</v>
      </c>
      <c r="F389" s="4" t="str">
        <f>VLOOKUP($A389,releases,3,FALSE)</f>
        <v>UK</v>
      </c>
      <c r="G389" s="4" t="str">
        <f>VLOOKUP($A389,releases,8,FALSE)</f>
        <v>Stereo</v>
      </c>
      <c r="H389" s="4" t="str">
        <f>VLOOKUP($A389,releases,4,FALSE)</f>
        <v>Sgt. Pepper's Lonely Hearts Club Band</v>
      </c>
    </row>
    <row r="390" spans="1:8" x14ac:dyDescent="0.25">
      <c r="A390" t="s">
        <v>54</v>
      </c>
      <c r="B390">
        <v>9</v>
      </c>
      <c r="C390" t="s">
        <v>241</v>
      </c>
      <c r="D390" t="s">
        <v>105</v>
      </c>
      <c r="E390" s="4">
        <f>VLOOKUP($A390,releases,2,FALSE)</f>
        <v>8</v>
      </c>
      <c r="F390" s="4" t="str">
        <f>VLOOKUP($A390,releases,3,FALSE)</f>
        <v>UK</v>
      </c>
      <c r="G390" s="4" t="str">
        <f>VLOOKUP($A390,releases,8,FALSE)</f>
        <v>Stereo</v>
      </c>
      <c r="H390" s="4" t="str">
        <f>VLOOKUP($A390,releases,4,FALSE)</f>
        <v>Sgt. Pepper's Lonely Hearts Club Band</v>
      </c>
    </row>
    <row r="391" spans="1:8" x14ac:dyDescent="0.25">
      <c r="A391" t="s">
        <v>54</v>
      </c>
      <c r="B391">
        <v>10</v>
      </c>
      <c r="C391" t="s">
        <v>242</v>
      </c>
      <c r="D391" t="s">
        <v>105</v>
      </c>
      <c r="E391" s="4">
        <f>VLOOKUP($A391,releases,2,FALSE)</f>
        <v>8</v>
      </c>
      <c r="F391" s="4" t="str">
        <f>VLOOKUP($A391,releases,3,FALSE)</f>
        <v>UK</v>
      </c>
      <c r="G391" s="4" t="str">
        <f>VLOOKUP($A391,releases,8,FALSE)</f>
        <v>Stereo</v>
      </c>
      <c r="H391" s="4" t="str">
        <f>VLOOKUP($A391,releases,4,FALSE)</f>
        <v>Sgt. Pepper's Lonely Hearts Club Band</v>
      </c>
    </row>
    <row r="392" spans="1:8" x14ac:dyDescent="0.25">
      <c r="A392" t="s">
        <v>54</v>
      </c>
      <c r="B392">
        <v>11</v>
      </c>
      <c r="C392" t="s">
        <v>243</v>
      </c>
      <c r="D392" t="s">
        <v>105</v>
      </c>
      <c r="E392" s="4">
        <f>VLOOKUP($A392,releases,2,FALSE)</f>
        <v>8</v>
      </c>
      <c r="F392" s="4" t="str">
        <f>VLOOKUP($A392,releases,3,FALSE)</f>
        <v>UK</v>
      </c>
      <c r="G392" s="4" t="str">
        <f>VLOOKUP($A392,releases,8,FALSE)</f>
        <v>Stereo</v>
      </c>
      <c r="H392" s="4" t="str">
        <f>VLOOKUP($A392,releases,4,FALSE)</f>
        <v>Sgt. Pepper's Lonely Hearts Club Band</v>
      </c>
    </row>
    <row r="393" spans="1:8" x14ac:dyDescent="0.25">
      <c r="A393" t="s">
        <v>54</v>
      </c>
      <c r="B393">
        <v>12</v>
      </c>
      <c r="C393" t="s">
        <v>244</v>
      </c>
      <c r="D393" t="s">
        <v>105</v>
      </c>
      <c r="E393" s="4">
        <f>VLOOKUP($A393,releases,2,FALSE)</f>
        <v>8</v>
      </c>
      <c r="F393" s="4" t="str">
        <f>VLOOKUP($A393,releases,3,FALSE)</f>
        <v>UK</v>
      </c>
      <c r="G393" s="4" t="str">
        <f>VLOOKUP($A393,releases,8,FALSE)</f>
        <v>Stereo</v>
      </c>
      <c r="H393" s="4" t="str">
        <f>VLOOKUP($A393,releases,4,FALSE)</f>
        <v>Sgt. Pepper's Lonely Hearts Club Band</v>
      </c>
    </row>
    <row r="394" spans="1:8" x14ac:dyDescent="0.25">
      <c r="A394" t="s">
        <v>54</v>
      </c>
      <c r="B394">
        <v>13</v>
      </c>
      <c r="C394" t="s">
        <v>245</v>
      </c>
      <c r="D394" t="s">
        <v>105</v>
      </c>
      <c r="E394" s="4">
        <f>VLOOKUP($A394,releases,2,FALSE)</f>
        <v>8</v>
      </c>
      <c r="F394" s="4" t="str">
        <f>VLOOKUP($A394,releases,3,FALSE)</f>
        <v>UK</v>
      </c>
      <c r="G394" s="4" t="str">
        <f>VLOOKUP($A394,releases,8,FALSE)</f>
        <v>Stereo</v>
      </c>
      <c r="H394" s="4" t="str">
        <f>VLOOKUP($A394,releases,4,FALSE)</f>
        <v>Sgt. Pepper's Lonely Hearts Club Band</v>
      </c>
    </row>
    <row r="395" spans="1:8" x14ac:dyDescent="0.25">
      <c r="A395" t="s">
        <v>52</v>
      </c>
      <c r="B395">
        <v>1</v>
      </c>
      <c r="C395" t="s">
        <v>53</v>
      </c>
      <c r="D395" t="s">
        <v>105</v>
      </c>
      <c r="E395" s="4">
        <f>VLOOKUP($A395,releases,2,FALSE)</f>
        <v>8</v>
      </c>
      <c r="F395" s="4" t="str">
        <f>VLOOKUP($A395,releases,3,FALSE)</f>
        <v>UK</v>
      </c>
      <c r="G395" s="4" t="str">
        <f>VLOOKUP($A395,releases,8,FALSE)</f>
        <v>Mono</v>
      </c>
      <c r="H395" s="4" t="str">
        <f>VLOOKUP($A395,releases,4,FALSE)</f>
        <v>Sgt. Pepper's Lonely Hearts Club Band</v>
      </c>
    </row>
    <row r="396" spans="1:8" x14ac:dyDescent="0.25">
      <c r="A396" t="s">
        <v>52</v>
      </c>
      <c r="B396">
        <v>2</v>
      </c>
      <c r="C396" t="s">
        <v>234</v>
      </c>
      <c r="D396" t="s">
        <v>105</v>
      </c>
      <c r="E396" s="4">
        <f>VLOOKUP($A396,releases,2,FALSE)</f>
        <v>8</v>
      </c>
      <c r="F396" s="4" t="str">
        <f>VLOOKUP($A396,releases,3,FALSE)</f>
        <v>UK</v>
      </c>
      <c r="G396" s="4" t="str">
        <f>VLOOKUP($A396,releases,8,FALSE)</f>
        <v>Mono</v>
      </c>
      <c r="H396" s="4" t="str">
        <f>VLOOKUP($A396,releases,4,FALSE)</f>
        <v>Sgt. Pepper's Lonely Hearts Club Band</v>
      </c>
    </row>
    <row r="397" spans="1:8" x14ac:dyDescent="0.25">
      <c r="A397" t="s">
        <v>52</v>
      </c>
      <c r="B397">
        <v>3</v>
      </c>
      <c r="C397" t="s">
        <v>235</v>
      </c>
      <c r="D397" t="s">
        <v>105</v>
      </c>
      <c r="E397" s="4">
        <f>VLOOKUP($A397,releases,2,FALSE)</f>
        <v>8</v>
      </c>
      <c r="F397" s="4" t="str">
        <f>VLOOKUP($A397,releases,3,FALSE)</f>
        <v>UK</v>
      </c>
      <c r="G397" s="4" t="str">
        <f>VLOOKUP($A397,releases,8,FALSE)</f>
        <v>Mono</v>
      </c>
      <c r="H397" s="4" t="str">
        <f>VLOOKUP($A397,releases,4,FALSE)</f>
        <v>Sgt. Pepper's Lonely Hearts Club Band</v>
      </c>
    </row>
    <row r="398" spans="1:8" x14ac:dyDescent="0.25">
      <c r="A398" t="s">
        <v>52</v>
      </c>
      <c r="B398">
        <v>4</v>
      </c>
      <c r="C398" t="s">
        <v>236</v>
      </c>
      <c r="D398" t="s">
        <v>105</v>
      </c>
      <c r="E398" s="4">
        <f>VLOOKUP($A398,releases,2,FALSE)</f>
        <v>8</v>
      </c>
      <c r="F398" s="4" t="str">
        <f>VLOOKUP($A398,releases,3,FALSE)</f>
        <v>UK</v>
      </c>
      <c r="G398" s="4" t="str">
        <f>VLOOKUP($A398,releases,8,FALSE)</f>
        <v>Mono</v>
      </c>
      <c r="H398" s="4" t="str">
        <f>VLOOKUP($A398,releases,4,FALSE)</f>
        <v>Sgt. Pepper's Lonely Hearts Club Band</v>
      </c>
    </row>
    <row r="399" spans="1:8" x14ac:dyDescent="0.25">
      <c r="A399" t="s">
        <v>52</v>
      </c>
      <c r="B399">
        <v>5</v>
      </c>
      <c r="C399" t="s">
        <v>237</v>
      </c>
      <c r="D399" t="s">
        <v>105</v>
      </c>
      <c r="E399" s="4">
        <f>VLOOKUP($A399,releases,2,FALSE)</f>
        <v>8</v>
      </c>
      <c r="F399" s="4" t="str">
        <f>VLOOKUP($A399,releases,3,FALSE)</f>
        <v>UK</v>
      </c>
      <c r="G399" s="4" t="str">
        <f>VLOOKUP($A399,releases,8,FALSE)</f>
        <v>Mono</v>
      </c>
      <c r="H399" s="4" t="str">
        <f>VLOOKUP($A399,releases,4,FALSE)</f>
        <v>Sgt. Pepper's Lonely Hearts Club Band</v>
      </c>
    </row>
    <row r="400" spans="1:8" x14ac:dyDescent="0.25">
      <c r="A400" t="s">
        <v>52</v>
      </c>
      <c r="B400">
        <v>6</v>
      </c>
      <c r="C400" t="s">
        <v>238</v>
      </c>
      <c r="D400" t="s">
        <v>105</v>
      </c>
      <c r="E400" s="4">
        <f>VLOOKUP($A400,releases,2,FALSE)</f>
        <v>8</v>
      </c>
      <c r="F400" s="4" t="str">
        <f>VLOOKUP($A400,releases,3,FALSE)</f>
        <v>UK</v>
      </c>
      <c r="G400" s="4" t="str">
        <f>VLOOKUP($A400,releases,8,FALSE)</f>
        <v>Mono</v>
      </c>
      <c r="H400" s="4" t="str">
        <f>VLOOKUP($A400,releases,4,FALSE)</f>
        <v>Sgt. Pepper's Lonely Hearts Club Band</v>
      </c>
    </row>
    <row r="401" spans="1:8" x14ac:dyDescent="0.25">
      <c r="A401" t="s">
        <v>52</v>
      </c>
      <c r="B401">
        <v>7</v>
      </c>
      <c r="C401" t="s">
        <v>239</v>
      </c>
      <c r="D401" t="s">
        <v>105</v>
      </c>
      <c r="E401" s="4">
        <f>VLOOKUP($A401,releases,2,FALSE)</f>
        <v>8</v>
      </c>
      <c r="F401" s="4" t="str">
        <f>VLOOKUP($A401,releases,3,FALSE)</f>
        <v>UK</v>
      </c>
      <c r="G401" s="4" t="str">
        <f>VLOOKUP($A401,releases,8,FALSE)</f>
        <v>Mono</v>
      </c>
      <c r="H401" s="4" t="str">
        <f>VLOOKUP($A401,releases,4,FALSE)</f>
        <v>Sgt. Pepper's Lonely Hearts Club Band</v>
      </c>
    </row>
    <row r="402" spans="1:8" x14ac:dyDescent="0.25">
      <c r="A402" t="s">
        <v>52</v>
      </c>
      <c r="B402">
        <v>8</v>
      </c>
      <c r="C402" t="s">
        <v>240</v>
      </c>
      <c r="D402" t="s">
        <v>110</v>
      </c>
      <c r="E402" s="4">
        <f>VLOOKUP($A402,releases,2,FALSE)</f>
        <v>8</v>
      </c>
      <c r="F402" s="4" t="str">
        <f>VLOOKUP($A402,releases,3,FALSE)</f>
        <v>UK</v>
      </c>
      <c r="G402" s="4" t="str">
        <f>VLOOKUP($A402,releases,8,FALSE)</f>
        <v>Mono</v>
      </c>
      <c r="H402" s="4" t="str">
        <f>VLOOKUP($A402,releases,4,FALSE)</f>
        <v>Sgt. Pepper's Lonely Hearts Club Band</v>
      </c>
    </row>
    <row r="403" spans="1:8" x14ac:dyDescent="0.25">
      <c r="A403" t="s">
        <v>52</v>
      </c>
      <c r="B403">
        <v>9</v>
      </c>
      <c r="C403" t="s">
        <v>241</v>
      </c>
      <c r="D403" t="s">
        <v>105</v>
      </c>
      <c r="E403" s="4">
        <f>VLOOKUP($A403,releases,2,FALSE)</f>
        <v>8</v>
      </c>
      <c r="F403" s="4" t="str">
        <f>VLOOKUP($A403,releases,3,FALSE)</f>
        <v>UK</v>
      </c>
      <c r="G403" s="4" t="str">
        <f>VLOOKUP($A403,releases,8,FALSE)</f>
        <v>Mono</v>
      </c>
      <c r="H403" s="4" t="str">
        <f>VLOOKUP($A403,releases,4,FALSE)</f>
        <v>Sgt. Pepper's Lonely Hearts Club Band</v>
      </c>
    </row>
    <row r="404" spans="1:8" x14ac:dyDescent="0.25">
      <c r="A404" t="s">
        <v>52</v>
      </c>
      <c r="B404">
        <v>10</v>
      </c>
      <c r="C404" t="s">
        <v>242</v>
      </c>
      <c r="D404" t="s">
        <v>105</v>
      </c>
      <c r="E404" s="4">
        <f>VLOOKUP($A404,releases,2,FALSE)</f>
        <v>8</v>
      </c>
      <c r="F404" s="4" t="str">
        <f>VLOOKUP($A404,releases,3,FALSE)</f>
        <v>UK</v>
      </c>
      <c r="G404" s="4" t="str">
        <f>VLOOKUP($A404,releases,8,FALSE)</f>
        <v>Mono</v>
      </c>
      <c r="H404" s="4" t="str">
        <f>VLOOKUP($A404,releases,4,FALSE)</f>
        <v>Sgt. Pepper's Lonely Hearts Club Band</v>
      </c>
    </row>
    <row r="405" spans="1:8" x14ac:dyDescent="0.25">
      <c r="A405" t="s">
        <v>52</v>
      </c>
      <c r="B405">
        <v>11</v>
      </c>
      <c r="C405" t="s">
        <v>243</v>
      </c>
      <c r="D405" t="s">
        <v>105</v>
      </c>
      <c r="E405" s="4">
        <f>VLOOKUP($A405,releases,2,FALSE)</f>
        <v>8</v>
      </c>
      <c r="F405" s="4" t="str">
        <f>VLOOKUP($A405,releases,3,FALSE)</f>
        <v>UK</v>
      </c>
      <c r="G405" s="4" t="str">
        <f>VLOOKUP($A405,releases,8,FALSE)</f>
        <v>Mono</v>
      </c>
      <c r="H405" s="4" t="str">
        <f>VLOOKUP($A405,releases,4,FALSE)</f>
        <v>Sgt. Pepper's Lonely Hearts Club Band</v>
      </c>
    </row>
    <row r="406" spans="1:8" x14ac:dyDescent="0.25">
      <c r="A406" t="s">
        <v>52</v>
      </c>
      <c r="B406">
        <v>12</v>
      </c>
      <c r="C406" t="s">
        <v>244</v>
      </c>
      <c r="D406" t="s">
        <v>105</v>
      </c>
      <c r="E406" s="4">
        <f>VLOOKUP($A406,releases,2,FALSE)</f>
        <v>8</v>
      </c>
      <c r="F406" s="4" t="str">
        <f>VLOOKUP($A406,releases,3,FALSE)</f>
        <v>UK</v>
      </c>
      <c r="G406" s="4" t="str">
        <f>VLOOKUP($A406,releases,8,FALSE)</f>
        <v>Mono</v>
      </c>
      <c r="H406" s="4" t="str">
        <f>VLOOKUP($A406,releases,4,FALSE)</f>
        <v>Sgt. Pepper's Lonely Hearts Club Band</v>
      </c>
    </row>
    <row r="407" spans="1:8" x14ac:dyDescent="0.25">
      <c r="A407" t="s">
        <v>52</v>
      </c>
      <c r="B407">
        <v>13</v>
      </c>
      <c r="C407" t="s">
        <v>245</v>
      </c>
      <c r="D407" t="s">
        <v>105</v>
      </c>
      <c r="E407" s="4">
        <f>VLOOKUP($A407,releases,2,FALSE)</f>
        <v>8</v>
      </c>
      <c r="F407" s="4" t="str">
        <f>VLOOKUP($A407,releases,3,FALSE)</f>
        <v>UK</v>
      </c>
      <c r="G407" s="4" t="str">
        <f>VLOOKUP($A407,releases,8,FALSE)</f>
        <v>Mono</v>
      </c>
      <c r="H407" s="4" t="str">
        <f>VLOOKUP($A407,releases,4,FALSE)</f>
        <v>Sgt. Pepper's Lonely Hearts Club Band</v>
      </c>
    </row>
    <row r="408" spans="1:8" x14ac:dyDescent="0.25">
      <c r="A408" t="s">
        <v>60</v>
      </c>
      <c r="B408">
        <v>1</v>
      </c>
      <c r="C408" t="s">
        <v>246</v>
      </c>
      <c r="D408" t="s">
        <v>105</v>
      </c>
      <c r="E408" s="4">
        <f>VLOOKUP($A408,releases,2,FALSE)</f>
        <v>9</v>
      </c>
      <c r="F408" s="4" t="str">
        <f>VLOOKUP($A408,releases,3,FALSE)</f>
        <v>UK</v>
      </c>
      <c r="G408" s="4" t="str">
        <f>VLOOKUP($A408,releases,8,FALSE)</f>
        <v>Stereo</v>
      </c>
      <c r="H408" s="4" t="str">
        <f>VLOOKUP($A408,releases,4,FALSE)</f>
        <v>The Beatles (White Album)</v>
      </c>
    </row>
    <row r="409" spans="1:8" x14ac:dyDescent="0.25">
      <c r="A409" t="s">
        <v>60</v>
      </c>
      <c r="B409">
        <v>2</v>
      </c>
      <c r="C409" t="s">
        <v>247</v>
      </c>
      <c r="D409" t="s">
        <v>105</v>
      </c>
      <c r="E409" s="4">
        <f>VLOOKUP($A409,releases,2,FALSE)</f>
        <v>9</v>
      </c>
      <c r="F409" s="4" t="str">
        <f>VLOOKUP($A409,releases,3,FALSE)</f>
        <v>UK</v>
      </c>
      <c r="G409" s="4" t="str">
        <f>VLOOKUP($A409,releases,8,FALSE)</f>
        <v>Stereo</v>
      </c>
      <c r="H409" s="4" t="str">
        <f>VLOOKUP($A409,releases,4,FALSE)</f>
        <v>The Beatles (White Album)</v>
      </c>
    </row>
    <row r="410" spans="1:8" x14ac:dyDescent="0.25">
      <c r="A410" t="s">
        <v>60</v>
      </c>
      <c r="B410">
        <v>3</v>
      </c>
      <c r="C410" t="s">
        <v>248</v>
      </c>
      <c r="D410" t="s">
        <v>105</v>
      </c>
      <c r="E410" s="4">
        <f>VLOOKUP($A410,releases,2,FALSE)</f>
        <v>9</v>
      </c>
      <c r="F410" s="4" t="str">
        <f>VLOOKUP($A410,releases,3,FALSE)</f>
        <v>UK</v>
      </c>
      <c r="G410" s="4" t="str">
        <f>VLOOKUP($A410,releases,8,FALSE)</f>
        <v>Stereo</v>
      </c>
      <c r="H410" s="4" t="str">
        <f>VLOOKUP($A410,releases,4,FALSE)</f>
        <v>The Beatles (White Album)</v>
      </c>
    </row>
    <row r="411" spans="1:8" x14ac:dyDescent="0.25">
      <c r="A411" t="s">
        <v>60</v>
      </c>
      <c r="B411">
        <v>4</v>
      </c>
      <c r="C411" t="s">
        <v>249</v>
      </c>
      <c r="D411" t="s">
        <v>105</v>
      </c>
      <c r="E411" s="4">
        <f>VLOOKUP($A411,releases,2,FALSE)</f>
        <v>9</v>
      </c>
      <c r="F411" s="4" t="str">
        <f>VLOOKUP($A411,releases,3,FALSE)</f>
        <v>UK</v>
      </c>
      <c r="G411" s="4" t="str">
        <f>VLOOKUP($A411,releases,8,FALSE)</f>
        <v>Stereo</v>
      </c>
      <c r="H411" s="4" t="str">
        <f>VLOOKUP($A411,releases,4,FALSE)</f>
        <v>The Beatles (White Album)</v>
      </c>
    </row>
    <row r="412" spans="1:8" x14ac:dyDescent="0.25">
      <c r="A412" t="s">
        <v>60</v>
      </c>
      <c r="B412">
        <v>5</v>
      </c>
      <c r="C412" t="s">
        <v>250</v>
      </c>
      <c r="D412" t="s">
        <v>105</v>
      </c>
      <c r="E412" s="4">
        <f>VLOOKUP($A412,releases,2,FALSE)</f>
        <v>9</v>
      </c>
      <c r="F412" s="4" t="str">
        <f>VLOOKUP($A412,releases,3,FALSE)</f>
        <v>UK</v>
      </c>
      <c r="G412" s="4" t="str">
        <f>VLOOKUP($A412,releases,8,FALSE)</f>
        <v>Stereo</v>
      </c>
      <c r="H412" s="4" t="str">
        <f>VLOOKUP($A412,releases,4,FALSE)</f>
        <v>The Beatles (White Album)</v>
      </c>
    </row>
    <row r="413" spans="1:8" x14ac:dyDescent="0.25">
      <c r="A413" t="s">
        <v>60</v>
      </c>
      <c r="B413">
        <v>6</v>
      </c>
      <c r="C413" t="s">
        <v>251</v>
      </c>
      <c r="D413" t="s">
        <v>105</v>
      </c>
      <c r="E413" s="4">
        <f>VLOOKUP($A413,releases,2,FALSE)</f>
        <v>9</v>
      </c>
      <c r="F413" s="4" t="str">
        <f>VLOOKUP($A413,releases,3,FALSE)</f>
        <v>UK</v>
      </c>
      <c r="G413" s="4" t="str">
        <f>VLOOKUP($A413,releases,8,FALSE)</f>
        <v>Stereo</v>
      </c>
      <c r="H413" s="4" t="str">
        <f>VLOOKUP($A413,releases,4,FALSE)</f>
        <v>The Beatles (White Album)</v>
      </c>
    </row>
    <row r="414" spans="1:8" x14ac:dyDescent="0.25">
      <c r="A414" t="s">
        <v>60</v>
      </c>
      <c r="B414">
        <v>7</v>
      </c>
      <c r="C414" t="s">
        <v>252</v>
      </c>
      <c r="D414" t="s">
        <v>110</v>
      </c>
      <c r="E414" s="4">
        <f>VLOOKUP($A414,releases,2,FALSE)</f>
        <v>9</v>
      </c>
      <c r="F414" s="4" t="str">
        <f>VLOOKUP($A414,releases,3,FALSE)</f>
        <v>UK</v>
      </c>
      <c r="G414" s="4" t="str">
        <f>VLOOKUP($A414,releases,8,FALSE)</f>
        <v>Stereo</v>
      </c>
      <c r="H414" s="4" t="str">
        <f>VLOOKUP($A414,releases,4,FALSE)</f>
        <v>The Beatles (White Album)</v>
      </c>
    </row>
    <row r="415" spans="1:8" x14ac:dyDescent="0.25">
      <c r="A415" t="s">
        <v>60</v>
      </c>
      <c r="B415">
        <v>8</v>
      </c>
      <c r="C415" t="s">
        <v>253</v>
      </c>
      <c r="D415" t="s">
        <v>105</v>
      </c>
      <c r="E415" s="4">
        <f>VLOOKUP($A415,releases,2,FALSE)</f>
        <v>9</v>
      </c>
      <c r="F415" s="4" t="str">
        <f>VLOOKUP($A415,releases,3,FALSE)</f>
        <v>UK</v>
      </c>
      <c r="G415" s="4" t="str">
        <f>VLOOKUP($A415,releases,8,FALSE)</f>
        <v>Stereo</v>
      </c>
      <c r="H415" s="4" t="str">
        <f>VLOOKUP($A415,releases,4,FALSE)</f>
        <v>The Beatles (White Album)</v>
      </c>
    </row>
    <row r="416" spans="1:8" x14ac:dyDescent="0.25">
      <c r="A416" t="s">
        <v>60</v>
      </c>
      <c r="B416">
        <v>9</v>
      </c>
      <c r="C416" t="s">
        <v>254</v>
      </c>
      <c r="D416" t="s">
        <v>105</v>
      </c>
      <c r="E416" s="4">
        <f>VLOOKUP($A416,releases,2,FALSE)</f>
        <v>9</v>
      </c>
      <c r="F416" s="4" t="str">
        <f>VLOOKUP($A416,releases,3,FALSE)</f>
        <v>UK</v>
      </c>
      <c r="G416" s="4" t="str">
        <f>VLOOKUP($A416,releases,8,FALSE)</f>
        <v>Stereo</v>
      </c>
      <c r="H416" s="4" t="str">
        <f>VLOOKUP($A416,releases,4,FALSE)</f>
        <v>The Beatles (White Album)</v>
      </c>
    </row>
    <row r="417" spans="1:8" x14ac:dyDescent="0.25">
      <c r="A417" t="s">
        <v>60</v>
      </c>
      <c r="B417">
        <v>10</v>
      </c>
      <c r="C417" t="s">
        <v>255</v>
      </c>
      <c r="D417" t="s">
        <v>105</v>
      </c>
      <c r="E417" s="4">
        <f>VLOOKUP($A417,releases,2,FALSE)</f>
        <v>9</v>
      </c>
      <c r="F417" s="4" t="str">
        <f>VLOOKUP($A417,releases,3,FALSE)</f>
        <v>UK</v>
      </c>
      <c r="G417" s="4" t="str">
        <f>VLOOKUP($A417,releases,8,FALSE)</f>
        <v>Stereo</v>
      </c>
      <c r="H417" s="4" t="str">
        <f>VLOOKUP($A417,releases,4,FALSE)</f>
        <v>The Beatles (White Album)</v>
      </c>
    </row>
    <row r="418" spans="1:8" x14ac:dyDescent="0.25">
      <c r="A418" t="s">
        <v>60</v>
      </c>
      <c r="B418">
        <v>11</v>
      </c>
      <c r="C418" t="s">
        <v>256</v>
      </c>
      <c r="D418" t="s">
        <v>105</v>
      </c>
      <c r="E418" s="4">
        <f>VLOOKUP($A418,releases,2,FALSE)</f>
        <v>9</v>
      </c>
      <c r="F418" s="4" t="str">
        <f>VLOOKUP($A418,releases,3,FALSE)</f>
        <v>UK</v>
      </c>
      <c r="G418" s="4" t="str">
        <f>VLOOKUP($A418,releases,8,FALSE)</f>
        <v>Stereo</v>
      </c>
      <c r="H418" s="4" t="str">
        <f>VLOOKUP($A418,releases,4,FALSE)</f>
        <v>The Beatles (White Album)</v>
      </c>
    </row>
    <row r="419" spans="1:8" x14ac:dyDescent="0.25">
      <c r="A419" t="s">
        <v>60</v>
      </c>
      <c r="B419">
        <v>12</v>
      </c>
      <c r="C419" t="s">
        <v>257</v>
      </c>
      <c r="D419" t="s">
        <v>110</v>
      </c>
      <c r="E419" s="4">
        <f>VLOOKUP($A419,releases,2,FALSE)</f>
        <v>9</v>
      </c>
      <c r="F419" s="4" t="str">
        <f>VLOOKUP($A419,releases,3,FALSE)</f>
        <v>UK</v>
      </c>
      <c r="G419" s="4" t="str">
        <f>VLOOKUP($A419,releases,8,FALSE)</f>
        <v>Stereo</v>
      </c>
      <c r="H419" s="4" t="str">
        <f>VLOOKUP($A419,releases,4,FALSE)</f>
        <v>The Beatles (White Album)</v>
      </c>
    </row>
    <row r="420" spans="1:8" x14ac:dyDescent="0.25">
      <c r="A420" t="s">
        <v>60</v>
      </c>
      <c r="B420">
        <v>13</v>
      </c>
      <c r="C420" t="s">
        <v>258</v>
      </c>
      <c r="D420" t="s">
        <v>105</v>
      </c>
      <c r="E420" s="4">
        <f>VLOOKUP($A420,releases,2,FALSE)</f>
        <v>9</v>
      </c>
      <c r="F420" s="4" t="str">
        <f>VLOOKUP($A420,releases,3,FALSE)</f>
        <v>UK</v>
      </c>
      <c r="G420" s="4" t="str">
        <f>VLOOKUP($A420,releases,8,FALSE)</f>
        <v>Stereo</v>
      </c>
      <c r="H420" s="4" t="str">
        <f>VLOOKUP($A420,releases,4,FALSE)</f>
        <v>The Beatles (White Album)</v>
      </c>
    </row>
    <row r="421" spans="1:8" x14ac:dyDescent="0.25">
      <c r="A421" t="s">
        <v>60</v>
      </c>
      <c r="B421">
        <v>14</v>
      </c>
      <c r="C421" t="s">
        <v>259</v>
      </c>
      <c r="D421" t="s">
        <v>260</v>
      </c>
      <c r="E421" s="4">
        <f>VLOOKUP($A421,releases,2,FALSE)</f>
        <v>9</v>
      </c>
      <c r="F421" s="4" t="str">
        <f>VLOOKUP($A421,releases,3,FALSE)</f>
        <v>UK</v>
      </c>
      <c r="G421" s="4" t="str">
        <f>VLOOKUP($A421,releases,8,FALSE)</f>
        <v>Stereo</v>
      </c>
      <c r="H421" s="4" t="str">
        <f>VLOOKUP($A421,releases,4,FALSE)</f>
        <v>The Beatles (White Album)</v>
      </c>
    </row>
    <row r="422" spans="1:8" x14ac:dyDescent="0.25">
      <c r="A422" t="s">
        <v>60</v>
      </c>
      <c r="B422">
        <v>15</v>
      </c>
      <c r="C422" t="s">
        <v>261</v>
      </c>
      <c r="D422" t="s">
        <v>105</v>
      </c>
      <c r="E422" s="4">
        <f>VLOOKUP($A422,releases,2,FALSE)</f>
        <v>9</v>
      </c>
      <c r="F422" s="4" t="str">
        <f>VLOOKUP($A422,releases,3,FALSE)</f>
        <v>UK</v>
      </c>
      <c r="G422" s="4" t="str">
        <f>VLOOKUP($A422,releases,8,FALSE)</f>
        <v>Stereo</v>
      </c>
      <c r="H422" s="4" t="str">
        <f>VLOOKUP($A422,releases,4,FALSE)</f>
        <v>The Beatles (White Album)</v>
      </c>
    </row>
    <row r="423" spans="1:8" x14ac:dyDescent="0.25">
      <c r="A423" t="s">
        <v>60</v>
      </c>
      <c r="B423">
        <v>16</v>
      </c>
      <c r="C423" t="s">
        <v>262</v>
      </c>
      <c r="D423" t="s">
        <v>105</v>
      </c>
      <c r="E423" s="4">
        <f>VLOOKUP($A423,releases,2,FALSE)</f>
        <v>9</v>
      </c>
      <c r="F423" s="4" t="str">
        <f>VLOOKUP($A423,releases,3,FALSE)</f>
        <v>UK</v>
      </c>
      <c r="G423" s="4" t="str">
        <f>VLOOKUP($A423,releases,8,FALSE)</f>
        <v>Stereo</v>
      </c>
      <c r="H423" s="4" t="str">
        <f>VLOOKUP($A423,releases,4,FALSE)</f>
        <v>The Beatles (White Album)</v>
      </c>
    </row>
    <row r="424" spans="1:8" x14ac:dyDescent="0.25">
      <c r="A424" t="s">
        <v>60</v>
      </c>
      <c r="B424">
        <v>17</v>
      </c>
      <c r="C424" t="s">
        <v>263</v>
      </c>
      <c r="D424" t="s">
        <v>105</v>
      </c>
      <c r="E424" s="4">
        <f>VLOOKUP($A424,releases,2,FALSE)</f>
        <v>9</v>
      </c>
      <c r="F424" s="4" t="str">
        <f>VLOOKUP($A424,releases,3,FALSE)</f>
        <v>UK</v>
      </c>
      <c r="G424" s="4" t="str">
        <f>VLOOKUP($A424,releases,8,FALSE)</f>
        <v>Stereo</v>
      </c>
      <c r="H424" s="4" t="str">
        <f>VLOOKUP($A424,releases,4,FALSE)</f>
        <v>The Beatles (White Album)</v>
      </c>
    </row>
    <row r="425" spans="1:8" x14ac:dyDescent="0.25">
      <c r="A425" t="s">
        <v>60</v>
      </c>
      <c r="B425">
        <v>18</v>
      </c>
      <c r="C425" t="s">
        <v>264</v>
      </c>
      <c r="D425" t="s">
        <v>105</v>
      </c>
      <c r="E425" s="4">
        <f>VLOOKUP($A425,releases,2,FALSE)</f>
        <v>9</v>
      </c>
      <c r="F425" s="4" t="str">
        <f>VLOOKUP($A425,releases,3,FALSE)</f>
        <v>UK</v>
      </c>
      <c r="G425" s="4" t="str">
        <f>VLOOKUP($A425,releases,8,FALSE)</f>
        <v>Stereo</v>
      </c>
      <c r="H425" s="4" t="str">
        <f>VLOOKUP($A425,releases,4,FALSE)</f>
        <v>The Beatles (White Album)</v>
      </c>
    </row>
    <row r="426" spans="1:8" x14ac:dyDescent="0.25">
      <c r="A426" t="s">
        <v>60</v>
      </c>
      <c r="B426">
        <v>19</v>
      </c>
      <c r="C426" t="s">
        <v>265</v>
      </c>
      <c r="D426" t="s">
        <v>105</v>
      </c>
      <c r="E426" s="4">
        <f>VLOOKUP($A426,releases,2,FALSE)</f>
        <v>9</v>
      </c>
      <c r="F426" s="4" t="str">
        <f>VLOOKUP($A426,releases,3,FALSE)</f>
        <v>UK</v>
      </c>
      <c r="G426" s="4" t="str">
        <f>VLOOKUP($A426,releases,8,FALSE)</f>
        <v>Stereo</v>
      </c>
      <c r="H426" s="4" t="str">
        <f>VLOOKUP($A426,releases,4,FALSE)</f>
        <v>The Beatles (White Album)</v>
      </c>
    </row>
    <row r="427" spans="1:8" x14ac:dyDescent="0.25">
      <c r="A427" t="s">
        <v>60</v>
      </c>
      <c r="B427">
        <v>20</v>
      </c>
      <c r="C427" t="s">
        <v>266</v>
      </c>
      <c r="D427" t="s">
        <v>105</v>
      </c>
      <c r="E427" s="4">
        <f>VLOOKUP($A427,releases,2,FALSE)</f>
        <v>9</v>
      </c>
      <c r="F427" s="4" t="str">
        <f>VLOOKUP($A427,releases,3,FALSE)</f>
        <v>UK</v>
      </c>
      <c r="G427" s="4" t="str">
        <f>VLOOKUP($A427,releases,8,FALSE)</f>
        <v>Stereo</v>
      </c>
      <c r="H427" s="4" t="str">
        <f>VLOOKUP($A427,releases,4,FALSE)</f>
        <v>The Beatles (White Album)</v>
      </c>
    </row>
    <row r="428" spans="1:8" x14ac:dyDescent="0.25">
      <c r="A428" t="s">
        <v>60</v>
      </c>
      <c r="B428">
        <v>21</v>
      </c>
      <c r="C428" t="s">
        <v>267</v>
      </c>
      <c r="D428" t="s">
        <v>105</v>
      </c>
      <c r="E428" s="4">
        <f>VLOOKUP($A428,releases,2,FALSE)</f>
        <v>9</v>
      </c>
      <c r="F428" s="4" t="str">
        <f>VLOOKUP($A428,releases,3,FALSE)</f>
        <v>UK</v>
      </c>
      <c r="G428" s="4" t="str">
        <f>VLOOKUP($A428,releases,8,FALSE)</f>
        <v>Stereo</v>
      </c>
      <c r="H428" s="4" t="str">
        <f>VLOOKUP($A428,releases,4,FALSE)</f>
        <v>The Beatles (White Album)</v>
      </c>
    </row>
    <row r="429" spans="1:8" x14ac:dyDescent="0.25">
      <c r="A429" t="s">
        <v>60</v>
      </c>
      <c r="B429">
        <v>22</v>
      </c>
      <c r="C429" t="s">
        <v>268</v>
      </c>
      <c r="D429" t="s">
        <v>105</v>
      </c>
      <c r="E429" s="4">
        <f>VLOOKUP($A429,releases,2,FALSE)</f>
        <v>9</v>
      </c>
      <c r="F429" s="4" t="str">
        <f>VLOOKUP($A429,releases,3,FALSE)</f>
        <v>UK</v>
      </c>
      <c r="G429" s="4" t="str">
        <f>VLOOKUP($A429,releases,8,FALSE)</f>
        <v>Stereo</v>
      </c>
      <c r="H429" s="4" t="str">
        <f>VLOOKUP($A429,releases,4,FALSE)</f>
        <v>The Beatles (White Album)</v>
      </c>
    </row>
    <row r="430" spans="1:8" x14ac:dyDescent="0.25">
      <c r="A430" t="s">
        <v>60</v>
      </c>
      <c r="B430">
        <v>23</v>
      </c>
      <c r="C430" t="s">
        <v>269</v>
      </c>
      <c r="D430" t="s">
        <v>105</v>
      </c>
      <c r="E430" s="4">
        <f>VLOOKUP($A430,releases,2,FALSE)</f>
        <v>9</v>
      </c>
      <c r="F430" s="4" t="str">
        <f>VLOOKUP($A430,releases,3,FALSE)</f>
        <v>UK</v>
      </c>
      <c r="G430" s="4" t="str">
        <f>VLOOKUP($A430,releases,8,FALSE)</f>
        <v>Stereo</v>
      </c>
      <c r="H430" s="4" t="str">
        <f>VLOOKUP($A430,releases,4,FALSE)</f>
        <v>The Beatles (White Album)</v>
      </c>
    </row>
    <row r="431" spans="1:8" x14ac:dyDescent="0.25">
      <c r="A431" t="s">
        <v>60</v>
      </c>
      <c r="B431">
        <v>24</v>
      </c>
      <c r="C431" t="s">
        <v>270</v>
      </c>
      <c r="D431" t="s">
        <v>110</v>
      </c>
      <c r="E431" s="4">
        <f>VLOOKUP($A431,releases,2,FALSE)</f>
        <v>9</v>
      </c>
      <c r="F431" s="4" t="str">
        <f>VLOOKUP($A431,releases,3,FALSE)</f>
        <v>UK</v>
      </c>
      <c r="G431" s="4" t="str">
        <f>VLOOKUP($A431,releases,8,FALSE)</f>
        <v>Stereo</v>
      </c>
      <c r="H431" s="4" t="str">
        <f>VLOOKUP($A431,releases,4,FALSE)</f>
        <v>The Beatles (White Album)</v>
      </c>
    </row>
    <row r="432" spans="1:8" x14ac:dyDescent="0.25">
      <c r="A432" t="s">
        <v>60</v>
      </c>
      <c r="B432">
        <v>25</v>
      </c>
      <c r="C432" t="s">
        <v>271</v>
      </c>
      <c r="D432" t="s">
        <v>105</v>
      </c>
      <c r="E432" s="4">
        <f>VLOOKUP($A432,releases,2,FALSE)</f>
        <v>9</v>
      </c>
      <c r="F432" s="4" t="str">
        <f>VLOOKUP($A432,releases,3,FALSE)</f>
        <v>UK</v>
      </c>
      <c r="G432" s="4" t="str">
        <f>VLOOKUP($A432,releases,8,FALSE)</f>
        <v>Stereo</v>
      </c>
      <c r="H432" s="4" t="str">
        <f>VLOOKUP($A432,releases,4,FALSE)</f>
        <v>The Beatles (White Album)</v>
      </c>
    </row>
    <row r="433" spans="1:8" x14ac:dyDescent="0.25">
      <c r="A433" t="s">
        <v>60</v>
      </c>
      <c r="B433">
        <v>26</v>
      </c>
      <c r="C433" t="s">
        <v>272</v>
      </c>
      <c r="D433" t="s">
        <v>105</v>
      </c>
      <c r="E433" s="4">
        <f>VLOOKUP($A433,releases,2,FALSE)</f>
        <v>9</v>
      </c>
      <c r="F433" s="4" t="str">
        <f>VLOOKUP($A433,releases,3,FALSE)</f>
        <v>UK</v>
      </c>
      <c r="G433" s="4" t="str">
        <f>VLOOKUP($A433,releases,8,FALSE)</f>
        <v>Stereo</v>
      </c>
      <c r="H433" s="4" t="str">
        <f>VLOOKUP($A433,releases,4,FALSE)</f>
        <v>The Beatles (White Album)</v>
      </c>
    </row>
    <row r="434" spans="1:8" x14ac:dyDescent="0.25">
      <c r="A434" t="s">
        <v>60</v>
      </c>
      <c r="B434">
        <v>27</v>
      </c>
      <c r="C434" t="s">
        <v>273</v>
      </c>
      <c r="D434" t="s">
        <v>110</v>
      </c>
      <c r="E434" s="4">
        <f>VLOOKUP($A434,releases,2,FALSE)</f>
        <v>9</v>
      </c>
      <c r="F434" s="4" t="str">
        <f>VLOOKUP($A434,releases,3,FALSE)</f>
        <v>UK</v>
      </c>
      <c r="G434" s="4" t="str">
        <f>VLOOKUP($A434,releases,8,FALSE)</f>
        <v>Stereo</v>
      </c>
      <c r="H434" s="4" t="str">
        <f>VLOOKUP($A434,releases,4,FALSE)</f>
        <v>The Beatles (White Album)</v>
      </c>
    </row>
    <row r="435" spans="1:8" x14ac:dyDescent="0.25">
      <c r="A435" t="s">
        <v>60</v>
      </c>
      <c r="B435">
        <v>28</v>
      </c>
      <c r="C435" t="s">
        <v>274</v>
      </c>
      <c r="D435" t="s">
        <v>105</v>
      </c>
      <c r="E435" s="4">
        <f>VLOOKUP($A435,releases,2,FALSE)</f>
        <v>9</v>
      </c>
      <c r="F435" s="4" t="str">
        <f>VLOOKUP($A435,releases,3,FALSE)</f>
        <v>UK</v>
      </c>
      <c r="G435" s="4" t="str">
        <f>VLOOKUP($A435,releases,8,FALSE)</f>
        <v>Stereo</v>
      </c>
      <c r="H435" s="4" t="str">
        <f>VLOOKUP($A435,releases,4,FALSE)</f>
        <v>The Beatles (White Album)</v>
      </c>
    </row>
    <row r="436" spans="1:8" x14ac:dyDescent="0.25">
      <c r="A436" t="s">
        <v>60</v>
      </c>
      <c r="B436">
        <v>29</v>
      </c>
      <c r="C436" t="s">
        <v>275</v>
      </c>
      <c r="D436" t="s">
        <v>105</v>
      </c>
      <c r="E436" s="4">
        <f>VLOOKUP($A436,releases,2,FALSE)</f>
        <v>9</v>
      </c>
      <c r="F436" s="4" t="str">
        <f>VLOOKUP($A436,releases,3,FALSE)</f>
        <v>UK</v>
      </c>
      <c r="G436" s="4" t="str">
        <f>VLOOKUP($A436,releases,8,FALSE)</f>
        <v>Stereo</v>
      </c>
      <c r="H436" s="4" t="str">
        <f>VLOOKUP($A436,releases,4,FALSE)</f>
        <v>The Beatles (White Album)</v>
      </c>
    </row>
    <row r="437" spans="1:8" x14ac:dyDescent="0.25">
      <c r="A437" t="s">
        <v>60</v>
      </c>
      <c r="B437">
        <v>30</v>
      </c>
      <c r="C437" t="s">
        <v>276</v>
      </c>
      <c r="D437" t="s">
        <v>105</v>
      </c>
      <c r="E437" s="4">
        <f>VLOOKUP($A437,releases,2,FALSE)</f>
        <v>9</v>
      </c>
      <c r="F437" s="4" t="str">
        <f>VLOOKUP($A437,releases,3,FALSE)</f>
        <v>UK</v>
      </c>
      <c r="G437" s="4" t="str">
        <f>VLOOKUP($A437,releases,8,FALSE)</f>
        <v>Stereo</v>
      </c>
      <c r="H437" s="4" t="str">
        <f>VLOOKUP($A437,releases,4,FALSE)</f>
        <v>The Beatles (White Album)</v>
      </c>
    </row>
    <row r="438" spans="1:8" x14ac:dyDescent="0.25">
      <c r="A438" t="s">
        <v>57</v>
      </c>
      <c r="B438">
        <v>1</v>
      </c>
      <c r="C438" t="s">
        <v>246</v>
      </c>
      <c r="D438" t="s">
        <v>105</v>
      </c>
      <c r="E438" s="4">
        <f>VLOOKUP($A438,releases,2,FALSE)</f>
        <v>9</v>
      </c>
      <c r="F438" s="4" t="str">
        <f>VLOOKUP($A438,releases,3,FALSE)</f>
        <v>UK</v>
      </c>
      <c r="G438" s="4" t="str">
        <f>VLOOKUP($A438,releases,8,FALSE)</f>
        <v>Mono</v>
      </c>
      <c r="H438" s="4" t="str">
        <f>VLOOKUP($A438,releases,4,FALSE)</f>
        <v>The Beatles (White Album)</v>
      </c>
    </row>
    <row r="439" spans="1:8" x14ac:dyDescent="0.25">
      <c r="A439" t="s">
        <v>57</v>
      </c>
      <c r="B439">
        <v>2</v>
      </c>
      <c r="C439" t="s">
        <v>247</v>
      </c>
      <c r="D439" t="s">
        <v>105</v>
      </c>
      <c r="E439" s="4">
        <f>VLOOKUP($A439,releases,2,FALSE)</f>
        <v>9</v>
      </c>
      <c r="F439" s="4" t="str">
        <f>VLOOKUP($A439,releases,3,FALSE)</f>
        <v>UK</v>
      </c>
      <c r="G439" s="4" t="str">
        <f>VLOOKUP($A439,releases,8,FALSE)</f>
        <v>Mono</v>
      </c>
      <c r="H439" s="4" t="str">
        <f>VLOOKUP($A439,releases,4,FALSE)</f>
        <v>The Beatles (White Album)</v>
      </c>
    </row>
    <row r="440" spans="1:8" x14ac:dyDescent="0.25">
      <c r="A440" t="s">
        <v>57</v>
      </c>
      <c r="B440">
        <v>3</v>
      </c>
      <c r="C440" t="s">
        <v>248</v>
      </c>
      <c r="D440" t="s">
        <v>105</v>
      </c>
      <c r="E440" s="4">
        <f>VLOOKUP($A440,releases,2,FALSE)</f>
        <v>9</v>
      </c>
      <c r="F440" s="4" t="str">
        <f>VLOOKUP($A440,releases,3,FALSE)</f>
        <v>UK</v>
      </c>
      <c r="G440" s="4" t="str">
        <f>VLOOKUP($A440,releases,8,FALSE)</f>
        <v>Mono</v>
      </c>
      <c r="H440" s="4" t="str">
        <f>VLOOKUP($A440,releases,4,FALSE)</f>
        <v>The Beatles (White Album)</v>
      </c>
    </row>
    <row r="441" spans="1:8" x14ac:dyDescent="0.25">
      <c r="A441" t="s">
        <v>57</v>
      </c>
      <c r="B441">
        <v>4</v>
      </c>
      <c r="C441" t="s">
        <v>249</v>
      </c>
      <c r="D441" t="s">
        <v>105</v>
      </c>
      <c r="E441" s="4">
        <f>VLOOKUP($A441,releases,2,FALSE)</f>
        <v>9</v>
      </c>
      <c r="F441" s="4" t="str">
        <f>VLOOKUP($A441,releases,3,FALSE)</f>
        <v>UK</v>
      </c>
      <c r="G441" s="4" t="str">
        <f>VLOOKUP($A441,releases,8,FALSE)</f>
        <v>Mono</v>
      </c>
      <c r="H441" s="4" t="str">
        <f>VLOOKUP($A441,releases,4,FALSE)</f>
        <v>The Beatles (White Album)</v>
      </c>
    </row>
    <row r="442" spans="1:8" x14ac:dyDescent="0.25">
      <c r="A442" t="s">
        <v>57</v>
      </c>
      <c r="B442">
        <v>5</v>
      </c>
      <c r="C442" t="s">
        <v>250</v>
      </c>
      <c r="D442" t="s">
        <v>105</v>
      </c>
      <c r="E442" s="4">
        <f>VLOOKUP($A442,releases,2,FALSE)</f>
        <v>9</v>
      </c>
      <c r="F442" s="4" t="str">
        <f>VLOOKUP($A442,releases,3,FALSE)</f>
        <v>UK</v>
      </c>
      <c r="G442" s="4" t="str">
        <f>VLOOKUP($A442,releases,8,FALSE)</f>
        <v>Mono</v>
      </c>
      <c r="H442" s="4" t="str">
        <f>VLOOKUP($A442,releases,4,FALSE)</f>
        <v>The Beatles (White Album)</v>
      </c>
    </row>
    <row r="443" spans="1:8" x14ac:dyDescent="0.25">
      <c r="A443" t="s">
        <v>57</v>
      </c>
      <c r="B443">
        <v>6</v>
      </c>
      <c r="C443" t="s">
        <v>251</v>
      </c>
      <c r="D443" t="s">
        <v>105</v>
      </c>
      <c r="E443" s="4">
        <f>VLOOKUP($A443,releases,2,FALSE)</f>
        <v>9</v>
      </c>
      <c r="F443" s="4" t="str">
        <f>VLOOKUP($A443,releases,3,FALSE)</f>
        <v>UK</v>
      </c>
      <c r="G443" s="4" t="str">
        <f>VLOOKUP($A443,releases,8,FALSE)</f>
        <v>Mono</v>
      </c>
      <c r="H443" s="4" t="str">
        <f>VLOOKUP($A443,releases,4,FALSE)</f>
        <v>The Beatles (White Album)</v>
      </c>
    </row>
    <row r="444" spans="1:8" x14ac:dyDescent="0.25">
      <c r="A444" t="s">
        <v>57</v>
      </c>
      <c r="B444">
        <v>7</v>
      </c>
      <c r="C444" t="s">
        <v>252</v>
      </c>
      <c r="D444" t="s">
        <v>110</v>
      </c>
      <c r="E444" s="4">
        <f>VLOOKUP($A444,releases,2,FALSE)</f>
        <v>9</v>
      </c>
      <c r="F444" s="4" t="str">
        <f>VLOOKUP($A444,releases,3,FALSE)</f>
        <v>UK</v>
      </c>
      <c r="G444" s="4" t="str">
        <f>VLOOKUP($A444,releases,8,FALSE)</f>
        <v>Mono</v>
      </c>
      <c r="H444" s="4" t="str">
        <f>VLOOKUP($A444,releases,4,FALSE)</f>
        <v>The Beatles (White Album)</v>
      </c>
    </row>
    <row r="445" spans="1:8" x14ac:dyDescent="0.25">
      <c r="A445" t="s">
        <v>57</v>
      </c>
      <c r="B445">
        <v>8</v>
      </c>
      <c r="C445" t="s">
        <v>253</v>
      </c>
      <c r="D445" t="s">
        <v>105</v>
      </c>
      <c r="E445" s="4">
        <f>VLOOKUP($A445,releases,2,FALSE)</f>
        <v>9</v>
      </c>
      <c r="F445" s="4" t="str">
        <f>VLOOKUP($A445,releases,3,FALSE)</f>
        <v>UK</v>
      </c>
      <c r="G445" s="4" t="str">
        <f>VLOOKUP($A445,releases,8,FALSE)</f>
        <v>Mono</v>
      </c>
      <c r="H445" s="4" t="str">
        <f>VLOOKUP($A445,releases,4,FALSE)</f>
        <v>The Beatles (White Album)</v>
      </c>
    </row>
    <row r="446" spans="1:8" x14ac:dyDescent="0.25">
      <c r="A446" t="s">
        <v>57</v>
      </c>
      <c r="B446">
        <v>9</v>
      </c>
      <c r="C446" t="s">
        <v>254</v>
      </c>
      <c r="D446" t="s">
        <v>105</v>
      </c>
      <c r="E446" s="4">
        <f>VLOOKUP($A446,releases,2,FALSE)</f>
        <v>9</v>
      </c>
      <c r="F446" s="4" t="str">
        <f>VLOOKUP($A446,releases,3,FALSE)</f>
        <v>UK</v>
      </c>
      <c r="G446" s="4" t="str">
        <f>VLOOKUP($A446,releases,8,FALSE)</f>
        <v>Mono</v>
      </c>
      <c r="H446" s="4" t="str">
        <f>VLOOKUP($A446,releases,4,FALSE)</f>
        <v>The Beatles (White Album)</v>
      </c>
    </row>
    <row r="447" spans="1:8" x14ac:dyDescent="0.25">
      <c r="A447" t="s">
        <v>57</v>
      </c>
      <c r="B447">
        <v>10</v>
      </c>
      <c r="C447" t="s">
        <v>255</v>
      </c>
      <c r="D447" t="s">
        <v>105</v>
      </c>
      <c r="E447" s="4">
        <f>VLOOKUP($A447,releases,2,FALSE)</f>
        <v>9</v>
      </c>
      <c r="F447" s="4" t="str">
        <f>VLOOKUP($A447,releases,3,FALSE)</f>
        <v>UK</v>
      </c>
      <c r="G447" s="4" t="str">
        <f>VLOOKUP($A447,releases,8,FALSE)</f>
        <v>Mono</v>
      </c>
      <c r="H447" s="4" t="str">
        <f>VLOOKUP($A447,releases,4,FALSE)</f>
        <v>The Beatles (White Album)</v>
      </c>
    </row>
    <row r="448" spans="1:8" x14ac:dyDescent="0.25">
      <c r="A448" t="s">
        <v>57</v>
      </c>
      <c r="B448">
        <v>11</v>
      </c>
      <c r="C448" t="s">
        <v>256</v>
      </c>
      <c r="D448" t="s">
        <v>105</v>
      </c>
      <c r="E448" s="4">
        <f>VLOOKUP($A448,releases,2,FALSE)</f>
        <v>9</v>
      </c>
      <c r="F448" s="4" t="str">
        <f>VLOOKUP($A448,releases,3,FALSE)</f>
        <v>UK</v>
      </c>
      <c r="G448" s="4" t="str">
        <f>VLOOKUP($A448,releases,8,FALSE)</f>
        <v>Mono</v>
      </c>
      <c r="H448" s="4" t="str">
        <f>VLOOKUP($A448,releases,4,FALSE)</f>
        <v>The Beatles (White Album)</v>
      </c>
    </row>
    <row r="449" spans="1:8" x14ac:dyDescent="0.25">
      <c r="A449" t="s">
        <v>57</v>
      </c>
      <c r="B449">
        <v>12</v>
      </c>
      <c r="C449" t="s">
        <v>257</v>
      </c>
      <c r="D449" t="s">
        <v>110</v>
      </c>
      <c r="E449" s="4">
        <f>VLOOKUP($A449,releases,2,FALSE)</f>
        <v>9</v>
      </c>
      <c r="F449" s="4" t="str">
        <f>VLOOKUP($A449,releases,3,FALSE)</f>
        <v>UK</v>
      </c>
      <c r="G449" s="4" t="str">
        <f>VLOOKUP($A449,releases,8,FALSE)</f>
        <v>Mono</v>
      </c>
      <c r="H449" s="4" t="str">
        <f>VLOOKUP($A449,releases,4,FALSE)</f>
        <v>The Beatles (White Album)</v>
      </c>
    </row>
    <row r="450" spans="1:8" x14ac:dyDescent="0.25">
      <c r="A450" t="s">
        <v>57</v>
      </c>
      <c r="B450">
        <v>13</v>
      </c>
      <c r="C450" t="s">
        <v>258</v>
      </c>
      <c r="D450" t="s">
        <v>105</v>
      </c>
      <c r="E450" s="4">
        <f>VLOOKUP($A450,releases,2,FALSE)</f>
        <v>9</v>
      </c>
      <c r="F450" s="4" t="str">
        <f>VLOOKUP($A450,releases,3,FALSE)</f>
        <v>UK</v>
      </c>
      <c r="G450" s="4" t="str">
        <f>VLOOKUP($A450,releases,8,FALSE)</f>
        <v>Mono</v>
      </c>
      <c r="H450" s="4" t="str">
        <f>VLOOKUP($A450,releases,4,FALSE)</f>
        <v>The Beatles (White Album)</v>
      </c>
    </row>
    <row r="451" spans="1:8" x14ac:dyDescent="0.25">
      <c r="A451" t="s">
        <v>57</v>
      </c>
      <c r="B451">
        <v>14</v>
      </c>
      <c r="C451" t="s">
        <v>259</v>
      </c>
      <c r="D451" t="s">
        <v>260</v>
      </c>
      <c r="E451" s="4">
        <f>VLOOKUP($A451,releases,2,FALSE)</f>
        <v>9</v>
      </c>
      <c r="F451" s="4" t="str">
        <f>VLOOKUP($A451,releases,3,FALSE)</f>
        <v>UK</v>
      </c>
      <c r="G451" s="4" t="str">
        <f>VLOOKUP($A451,releases,8,FALSE)</f>
        <v>Mono</v>
      </c>
      <c r="H451" s="4" t="str">
        <f>VLOOKUP($A451,releases,4,FALSE)</f>
        <v>The Beatles (White Album)</v>
      </c>
    </row>
    <row r="452" spans="1:8" x14ac:dyDescent="0.25">
      <c r="A452" t="s">
        <v>57</v>
      </c>
      <c r="B452">
        <v>15</v>
      </c>
      <c r="C452" t="s">
        <v>261</v>
      </c>
      <c r="D452" t="s">
        <v>105</v>
      </c>
      <c r="E452" s="4">
        <f>VLOOKUP($A452,releases,2,FALSE)</f>
        <v>9</v>
      </c>
      <c r="F452" s="4" t="str">
        <f>VLOOKUP($A452,releases,3,FALSE)</f>
        <v>UK</v>
      </c>
      <c r="G452" s="4" t="str">
        <f>VLOOKUP($A452,releases,8,FALSE)</f>
        <v>Mono</v>
      </c>
      <c r="H452" s="4" t="str">
        <f>VLOOKUP($A452,releases,4,FALSE)</f>
        <v>The Beatles (White Album)</v>
      </c>
    </row>
    <row r="453" spans="1:8" x14ac:dyDescent="0.25">
      <c r="A453" t="s">
        <v>57</v>
      </c>
      <c r="B453">
        <v>16</v>
      </c>
      <c r="C453" t="s">
        <v>262</v>
      </c>
      <c r="D453" t="s">
        <v>105</v>
      </c>
      <c r="E453" s="4">
        <f>VLOOKUP($A453,releases,2,FALSE)</f>
        <v>9</v>
      </c>
      <c r="F453" s="4" t="str">
        <f>VLOOKUP($A453,releases,3,FALSE)</f>
        <v>UK</v>
      </c>
      <c r="G453" s="4" t="str">
        <f>VLOOKUP($A453,releases,8,FALSE)</f>
        <v>Mono</v>
      </c>
      <c r="H453" s="4" t="str">
        <f>VLOOKUP($A453,releases,4,FALSE)</f>
        <v>The Beatles (White Album)</v>
      </c>
    </row>
    <row r="454" spans="1:8" x14ac:dyDescent="0.25">
      <c r="A454" t="s">
        <v>57</v>
      </c>
      <c r="B454">
        <v>17</v>
      </c>
      <c r="C454" t="s">
        <v>263</v>
      </c>
      <c r="D454" t="s">
        <v>105</v>
      </c>
      <c r="E454" s="4">
        <f>VLOOKUP($A454,releases,2,FALSE)</f>
        <v>9</v>
      </c>
      <c r="F454" s="4" t="str">
        <f>VLOOKUP($A454,releases,3,FALSE)</f>
        <v>UK</v>
      </c>
      <c r="G454" s="4" t="str">
        <f>VLOOKUP($A454,releases,8,FALSE)</f>
        <v>Mono</v>
      </c>
      <c r="H454" s="4" t="str">
        <f>VLOOKUP($A454,releases,4,FALSE)</f>
        <v>The Beatles (White Album)</v>
      </c>
    </row>
    <row r="455" spans="1:8" x14ac:dyDescent="0.25">
      <c r="A455" t="s">
        <v>57</v>
      </c>
      <c r="B455">
        <v>18</v>
      </c>
      <c r="C455" t="s">
        <v>264</v>
      </c>
      <c r="D455" t="s">
        <v>105</v>
      </c>
      <c r="E455" s="4">
        <f>VLOOKUP($A455,releases,2,FALSE)</f>
        <v>9</v>
      </c>
      <c r="F455" s="4" t="str">
        <f>VLOOKUP($A455,releases,3,FALSE)</f>
        <v>UK</v>
      </c>
      <c r="G455" s="4" t="str">
        <f>VLOOKUP($A455,releases,8,FALSE)</f>
        <v>Mono</v>
      </c>
      <c r="H455" s="4" t="str">
        <f>VLOOKUP($A455,releases,4,FALSE)</f>
        <v>The Beatles (White Album)</v>
      </c>
    </row>
    <row r="456" spans="1:8" x14ac:dyDescent="0.25">
      <c r="A456" t="s">
        <v>57</v>
      </c>
      <c r="B456">
        <v>19</v>
      </c>
      <c r="C456" t="s">
        <v>265</v>
      </c>
      <c r="D456" t="s">
        <v>105</v>
      </c>
      <c r="E456" s="4">
        <f>VLOOKUP($A456,releases,2,FALSE)</f>
        <v>9</v>
      </c>
      <c r="F456" s="4" t="str">
        <f>VLOOKUP($A456,releases,3,FALSE)</f>
        <v>UK</v>
      </c>
      <c r="G456" s="4" t="str">
        <f>VLOOKUP($A456,releases,8,FALSE)</f>
        <v>Mono</v>
      </c>
      <c r="H456" s="4" t="str">
        <f>VLOOKUP($A456,releases,4,FALSE)</f>
        <v>The Beatles (White Album)</v>
      </c>
    </row>
    <row r="457" spans="1:8" x14ac:dyDescent="0.25">
      <c r="A457" t="s">
        <v>57</v>
      </c>
      <c r="B457">
        <v>20</v>
      </c>
      <c r="C457" t="s">
        <v>266</v>
      </c>
      <c r="D457" t="s">
        <v>105</v>
      </c>
      <c r="E457" s="4">
        <f>VLOOKUP($A457,releases,2,FALSE)</f>
        <v>9</v>
      </c>
      <c r="F457" s="4" t="str">
        <f>VLOOKUP($A457,releases,3,FALSE)</f>
        <v>UK</v>
      </c>
      <c r="G457" s="4" t="str">
        <f>VLOOKUP($A457,releases,8,FALSE)</f>
        <v>Mono</v>
      </c>
      <c r="H457" s="4" t="str">
        <f>VLOOKUP($A457,releases,4,FALSE)</f>
        <v>The Beatles (White Album)</v>
      </c>
    </row>
    <row r="458" spans="1:8" x14ac:dyDescent="0.25">
      <c r="A458" t="s">
        <v>57</v>
      </c>
      <c r="B458">
        <v>21</v>
      </c>
      <c r="C458" t="s">
        <v>267</v>
      </c>
      <c r="D458" t="s">
        <v>105</v>
      </c>
      <c r="E458" s="4">
        <f>VLOOKUP($A458,releases,2,FALSE)</f>
        <v>9</v>
      </c>
      <c r="F458" s="4" t="str">
        <f>VLOOKUP($A458,releases,3,FALSE)</f>
        <v>UK</v>
      </c>
      <c r="G458" s="4" t="str">
        <f>VLOOKUP($A458,releases,8,FALSE)</f>
        <v>Mono</v>
      </c>
      <c r="H458" s="4" t="str">
        <f>VLOOKUP($A458,releases,4,FALSE)</f>
        <v>The Beatles (White Album)</v>
      </c>
    </row>
    <row r="459" spans="1:8" x14ac:dyDescent="0.25">
      <c r="A459" t="s">
        <v>57</v>
      </c>
      <c r="B459">
        <v>22</v>
      </c>
      <c r="C459" t="s">
        <v>268</v>
      </c>
      <c r="D459" t="s">
        <v>105</v>
      </c>
      <c r="E459" s="4">
        <f>VLOOKUP($A459,releases,2,FALSE)</f>
        <v>9</v>
      </c>
      <c r="F459" s="4" t="str">
        <f>VLOOKUP($A459,releases,3,FALSE)</f>
        <v>UK</v>
      </c>
      <c r="G459" s="4" t="str">
        <f>VLOOKUP($A459,releases,8,FALSE)</f>
        <v>Mono</v>
      </c>
      <c r="H459" s="4" t="str">
        <f>VLOOKUP($A459,releases,4,FALSE)</f>
        <v>The Beatles (White Album)</v>
      </c>
    </row>
    <row r="460" spans="1:8" x14ac:dyDescent="0.25">
      <c r="A460" t="s">
        <v>57</v>
      </c>
      <c r="B460">
        <v>23</v>
      </c>
      <c r="C460" t="s">
        <v>269</v>
      </c>
      <c r="D460" t="s">
        <v>105</v>
      </c>
      <c r="E460" s="4">
        <f>VLOOKUP($A460,releases,2,FALSE)</f>
        <v>9</v>
      </c>
      <c r="F460" s="4" t="str">
        <f>VLOOKUP($A460,releases,3,FALSE)</f>
        <v>UK</v>
      </c>
      <c r="G460" s="4" t="str">
        <f>VLOOKUP($A460,releases,8,FALSE)</f>
        <v>Mono</v>
      </c>
      <c r="H460" s="4" t="str">
        <f>VLOOKUP($A460,releases,4,FALSE)</f>
        <v>The Beatles (White Album)</v>
      </c>
    </row>
    <row r="461" spans="1:8" x14ac:dyDescent="0.25">
      <c r="A461" t="s">
        <v>57</v>
      </c>
      <c r="B461">
        <v>24</v>
      </c>
      <c r="C461" t="s">
        <v>270</v>
      </c>
      <c r="D461" t="s">
        <v>110</v>
      </c>
      <c r="E461" s="4">
        <f>VLOOKUP($A461,releases,2,FALSE)</f>
        <v>9</v>
      </c>
      <c r="F461" s="4" t="str">
        <f>VLOOKUP($A461,releases,3,FALSE)</f>
        <v>UK</v>
      </c>
      <c r="G461" s="4" t="str">
        <f>VLOOKUP($A461,releases,8,FALSE)</f>
        <v>Mono</v>
      </c>
      <c r="H461" s="4" t="str">
        <f>VLOOKUP($A461,releases,4,FALSE)</f>
        <v>The Beatles (White Album)</v>
      </c>
    </row>
    <row r="462" spans="1:8" x14ac:dyDescent="0.25">
      <c r="A462" t="s">
        <v>57</v>
      </c>
      <c r="B462">
        <v>25</v>
      </c>
      <c r="C462" t="s">
        <v>271</v>
      </c>
      <c r="D462" t="s">
        <v>105</v>
      </c>
      <c r="E462" s="4">
        <f>VLOOKUP($A462,releases,2,FALSE)</f>
        <v>9</v>
      </c>
      <c r="F462" s="4" t="str">
        <f>VLOOKUP($A462,releases,3,FALSE)</f>
        <v>UK</v>
      </c>
      <c r="G462" s="4" t="str">
        <f>VLOOKUP($A462,releases,8,FALSE)</f>
        <v>Mono</v>
      </c>
      <c r="H462" s="4" t="str">
        <f>VLOOKUP($A462,releases,4,FALSE)</f>
        <v>The Beatles (White Album)</v>
      </c>
    </row>
    <row r="463" spans="1:8" x14ac:dyDescent="0.25">
      <c r="A463" t="s">
        <v>57</v>
      </c>
      <c r="B463">
        <v>26</v>
      </c>
      <c r="C463" t="s">
        <v>272</v>
      </c>
      <c r="D463" t="s">
        <v>105</v>
      </c>
      <c r="E463" s="4">
        <f>VLOOKUP($A463,releases,2,FALSE)</f>
        <v>9</v>
      </c>
      <c r="F463" s="4" t="str">
        <f>VLOOKUP($A463,releases,3,FALSE)</f>
        <v>UK</v>
      </c>
      <c r="G463" s="4" t="str">
        <f>VLOOKUP($A463,releases,8,FALSE)</f>
        <v>Mono</v>
      </c>
      <c r="H463" s="4" t="str">
        <f>VLOOKUP($A463,releases,4,FALSE)</f>
        <v>The Beatles (White Album)</v>
      </c>
    </row>
    <row r="464" spans="1:8" x14ac:dyDescent="0.25">
      <c r="A464" t="s">
        <v>57</v>
      </c>
      <c r="B464">
        <v>27</v>
      </c>
      <c r="C464" t="s">
        <v>273</v>
      </c>
      <c r="D464" t="s">
        <v>110</v>
      </c>
      <c r="E464" s="4">
        <f>VLOOKUP($A464,releases,2,FALSE)</f>
        <v>9</v>
      </c>
      <c r="F464" s="4" t="str">
        <f>VLOOKUP($A464,releases,3,FALSE)</f>
        <v>UK</v>
      </c>
      <c r="G464" s="4" t="str">
        <f>VLOOKUP($A464,releases,8,FALSE)</f>
        <v>Mono</v>
      </c>
      <c r="H464" s="4" t="str">
        <f>VLOOKUP($A464,releases,4,FALSE)</f>
        <v>The Beatles (White Album)</v>
      </c>
    </row>
    <row r="465" spans="1:8" x14ac:dyDescent="0.25">
      <c r="A465" t="s">
        <v>57</v>
      </c>
      <c r="B465">
        <v>28</v>
      </c>
      <c r="C465" t="s">
        <v>274</v>
      </c>
      <c r="D465" t="s">
        <v>105</v>
      </c>
      <c r="E465" s="4">
        <f>VLOOKUP($A465,releases,2,FALSE)</f>
        <v>9</v>
      </c>
      <c r="F465" s="4" t="str">
        <f>VLOOKUP($A465,releases,3,FALSE)</f>
        <v>UK</v>
      </c>
      <c r="G465" s="4" t="str">
        <f>VLOOKUP($A465,releases,8,FALSE)</f>
        <v>Mono</v>
      </c>
      <c r="H465" s="4" t="str">
        <f>VLOOKUP($A465,releases,4,FALSE)</f>
        <v>The Beatles (White Album)</v>
      </c>
    </row>
    <row r="466" spans="1:8" x14ac:dyDescent="0.25">
      <c r="A466" t="s">
        <v>57</v>
      </c>
      <c r="B466">
        <v>29</v>
      </c>
      <c r="C466" t="s">
        <v>275</v>
      </c>
      <c r="D466" t="s">
        <v>105</v>
      </c>
      <c r="E466" s="4">
        <f>VLOOKUP($A466,releases,2,FALSE)</f>
        <v>9</v>
      </c>
      <c r="F466" s="4" t="str">
        <f>VLOOKUP($A466,releases,3,FALSE)</f>
        <v>UK</v>
      </c>
      <c r="G466" s="4" t="str">
        <f>VLOOKUP($A466,releases,8,FALSE)</f>
        <v>Mono</v>
      </c>
      <c r="H466" s="4" t="str">
        <f>VLOOKUP($A466,releases,4,FALSE)</f>
        <v>The Beatles (White Album)</v>
      </c>
    </row>
    <row r="467" spans="1:8" x14ac:dyDescent="0.25">
      <c r="A467" t="s">
        <v>57</v>
      </c>
      <c r="B467">
        <v>30</v>
      </c>
      <c r="C467" t="s">
        <v>276</v>
      </c>
      <c r="D467" t="s">
        <v>105</v>
      </c>
      <c r="E467" s="4">
        <f>VLOOKUP($A467,releases,2,FALSE)</f>
        <v>9</v>
      </c>
      <c r="F467" s="4" t="str">
        <f>VLOOKUP($A467,releases,3,FALSE)</f>
        <v>UK</v>
      </c>
      <c r="G467" s="4" t="str">
        <f>VLOOKUP($A467,releases,8,FALSE)</f>
        <v>Mono</v>
      </c>
      <c r="H467" s="4" t="str">
        <f>VLOOKUP($A467,releases,4,FALSE)</f>
        <v>The Beatles (White Album)</v>
      </c>
    </row>
    <row r="468" spans="1:8" x14ac:dyDescent="0.25">
      <c r="A468" t="s">
        <v>61</v>
      </c>
      <c r="B468">
        <v>1</v>
      </c>
      <c r="C468" t="s">
        <v>246</v>
      </c>
      <c r="D468" t="s">
        <v>105</v>
      </c>
      <c r="E468" s="4">
        <f>VLOOKUP($A468,releases,2,FALSE)</f>
        <v>9</v>
      </c>
      <c r="F468" s="4" t="str">
        <f>VLOOKUP($A468,releases,3,FALSE)</f>
        <v>US</v>
      </c>
      <c r="G468" s="4" t="str">
        <f>VLOOKUP($A468,releases,8,FALSE)</f>
        <v>Stereo</v>
      </c>
      <c r="H468" s="4" t="str">
        <f>VLOOKUP($A468,releases,4,FALSE)</f>
        <v>The Beatles (White Album)</v>
      </c>
    </row>
    <row r="469" spans="1:8" x14ac:dyDescent="0.25">
      <c r="A469" t="s">
        <v>61</v>
      </c>
      <c r="B469">
        <v>2</v>
      </c>
      <c r="C469" t="s">
        <v>247</v>
      </c>
      <c r="D469" t="s">
        <v>105</v>
      </c>
      <c r="E469" s="4">
        <f>VLOOKUP($A469,releases,2,FALSE)</f>
        <v>9</v>
      </c>
      <c r="F469" s="4" t="str">
        <f>VLOOKUP($A469,releases,3,FALSE)</f>
        <v>US</v>
      </c>
      <c r="G469" s="4" t="str">
        <f>VLOOKUP($A469,releases,8,FALSE)</f>
        <v>Stereo</v>
      </c>
      <c r="H469" s="4" t="str">
        <f>VLOOKUP($A469,releases,4,FALSE)</f>
        <v>The Beatles (White Album)</v>
      </c>
    </row>
    <row r="470" spans="1:8" x14ac:dyDescent="0.25">
      <c r="A470" t="s">
        <v>61</v>
      </c>
      <c r="B470">
        <v>3</v>
      </c>
      <c r="C470" t="s">
        <v>248</v>
      </c>
      <c r="D470" t="s">
        <v>105</v>
      </c>
      <c r="E470" s="4">
        <f>VLOOKUP($A470,releases,2,FALSE)</f>
        <v>9</v>
      </c>
      <c r="F470" s="4" t="str">
        <f>VLOOKUP($A470,releases,3,FALSE)</f>
        <v>US</v>
      </c>
      <c r="G470" s="4" t="str">
        <f>VLOOKUP($A470,releases,8,FALSE)</f>
        <v>Stereo</v>
      </c>
      <c r="H470" s="4" t="str">
        <f>VLOOKUP($A470,releases,4,FALSE)</f>
        <v>The Beatles (White Album)</v>
      </c>
    </row>
    <row r="471" spans="1:8" x14ac:dyDescent="0.25">
      <c r="A471" t="s">
        <v>61</v>
      </c>
      <c r="B471">
        <v>4</v>
      </c>
      <c r="C471" t="s">
        <v>249</v>
      </c>
      <c r="D471" t="s">
        <v>105</v>
      </c>
      <c r="E471" s="4">
        <f>VLOOKUP($A471,releases,2,FALSE)</f>
        <v>9</v>
      </c>
      <c r="F471" s="4" t="str">
        <f>VLOOKUP($A471,releases,3,FALSE)</f>
        <v>US</v>
      </c>
      <c r="G471" s="4" t="str">
        <f>VLOOKUP($A471,releases,8,FALSE)</f>
        <v>Stereo</v>
      </c>
      <c r="H471" s="4" t="str">
        <f>VLOOKUP($A471,releases,4,FALSE)</f>
        <v>The Beatles (White Album)</v>
      </c>
    </row>
    <row r="472" spans="1:8" x14ac:dyDescent="0.25">
      <c r="A472" t="s">
        <v>61</v>
      </c>
      <c r="B472">
        <v>5</v>
      </c>
      <c r="C472" t="s">
        <v>250</v>
      </c>
      <c r="D472" t="s">
        <v>105</v>
      </c>
      <c r="E472" s="4">
        <f>VLOOKUP($A472,releases,2,FALSE)</f>
        <v>9</v>
      </c>
      <c r="F472" s="4" t="str">
        <f>VLOOKUP($A472,releases,3,FALSE)</f>
        <v>US</v>
      </c>
      <c r="G472" s="4" t="str">
        <f>VLOOKUP($A472,releases,8,FALSE)</f>
        <v>Stereo</v>
      </c>
      <c r="H472" s="4" t="str">
        <f>VLOOKUP($A472,releases,4,FALSE)</f>
        <v>The Beatles (White Album)</v>
      </c>
    </row>
    <row r="473" spans="1:8" x14ac:dyDescent="0.25">
      <c r="A473" t="s">
        <v>61</v>
      </c>
      <c r="B473">
        <v>6</v>
      </c>
      <c r="C473" t="s">
        <v>251</v>
      </c>
      <c r="D473" t="s">
        <v>105</v>
      </c>
      <c r="E473" s="4">
        <f>VLOOKUP($A473,releases,2,FALSE)</f>
        <v>9</v>
      </c>
      <c r="F473" s="4" t="str">
        <f>VLOOKUP($A473,releases,3,FALSE)</f>
        <v>US</v>
      </c>
      <c r="G473" s="4" t="str">
        <f>VLOOKUP($A473,releases,8,FALSE)</f>
        <v>Stereo</v>
      </c>
      <c r="H473" s="4" t="str">
        <f>VLOOKUP($A473,releases,4,FALSE)</f>
        <v>The Beatles (White Album)</v>
      </c>
    </row>
    <row r="474" spans="1:8" x14ac:dyDescent="0.25">
      <c r="A474" t="s">
        <v>61</v>
      </c>
      <c r="B474">
        <v>7</v>
      </c>
      <c r="C474" t="s">
        <v>252</v>
      </c>
      <c r="D474" t="s">
        <v>110</v>
      </c>
      <c r="E474" s="4">
        <f>VLOOKUP($A474,releases,2,FALSE)</f>
        <v>9</v>
      </c>
      <c r="F474" s="4" t="str">
        <f>VLOOKUP($A474,releases,3,FALSE)</f>
        <v>US</v>
      </c>
      <c r="G474" s="4" t="str">
        <f>VLOOKUP($A474,releases,8,FALSE)</f>
        <v>Stereo</v>
      </c>
      <c r="H474" s="4" t="str">
        <f>VLOOKUP($A474,releases,4,FALSE)</f>
        <v>The Beatles (White Album)</v>
      </c>
    </row>
    <row r="475" spans="1:8" x14ac:dyDescent="0.25">
      <c r="A475" t="s">
        <v>61</v>
      </c>
      <c r="B475">
        <v>8</v>
      </c>
      <c r="C475" t="s">
        <v>253</v>
      </c>
      <c r="D475" t="s">
        <v>105</v>
      </c>
      <c r="E475" s="4">
        <f>VLOOKUP($A475,releases,2,FALSE)</f>
        <v>9</v>
      </c>
      <c r="F475" s="4" t="str">
        <f>VLOOKUP($A475,releases,3,FALSE)</f>
        <v>US</v>
      </c>
      <c r="G475" s="4" t="str">
        <f>VLOOKUP($A475,releases,8,FALSE)</f>
        <v>Stereo</v>
      </c>
      <c r="H475" s="4" t="str">
        <f>VLOOKUP($A475,releases,4,FALSE)</f>
        <v>The Beatles (White Album)</v>
      </c>
    </row>
    <row r="476" spans="1:8" x14ac:dyDescent="0.25">
      <c r="A476" t="s">
        <v>61</v>
      </c>
      <c r="B476">
        <v>9</v>
      </c>
      <c r="C476" t="s">
        <v>254</v>
      </c>
      <c r="D476" t="s">
        <v>105</v>
      </c>
      <c r="E476" s="4">
        <f>VLOOKUP($A476,releases,2,FALSE)</f>
        <v>9</v>
      </c>
      <c r="F476" s="4" t="str">
        <f>VLOOKUP($A476,releases,3,FALSE)</f>
        <v>US</v>
      </c>
      <c r="G476" s="4" t="str">
        <f>VLOOKUP($A476,releases,8,FALSE)</f>
        <v>Stereo</v>
      </c>
      <c r="H476" s="4" t="str">
        <f>VLOOKUP($A476,releases,4,FALSE)</f>
        <v>The Beatles (White Album)</v>
      </c>
    </row>
    <row r="477" spans="1:8" x14ac:dyDescent="0.25">
      <c r="A477" t="s">
        <v>61</v>
      </c>
      <c r="B477">
        <v>10</v>
      </c>
      <c r="C477" t="s">
        <v>255</v>
      </c>
      <c r="D477" t="s">
        <v>105</v>
      </c>
      <c r="E477" s="4">
        <f>VLOOKUP($A477,releases,2,FALSE)</f>
        <v>9</v>
      </c>
      <c r="F477" s="4" t="str">
        <f>VLOOKUP($A477,releases,3,FALSE)</f>
        <v>US</v>
      </c>
      <c r="G477" s="4" t="str">
        <f>VLOOKUP($A477,releases,8,FALSE)</f>
        <v>Stereo</v>
      </c>
      <c r="H477" s="4" t="str">
        <f>VLOOKUP($A477,releases,4,FALSE)</f>
        <v>The Beatles (White Album)</v>
      </c>
    </row>
    <row r="478" spans="1:8" x14ac:dyDescent="0.25">
      <c r="A478" t="s">
        <v>61</v>
      </c>
      <c r="B478">
        <v>11</v>
      </c>
      <c r="C478" t="s">
        <v>256</v>
      </c>
      <c r="D478" t="s">
        <v>105</v>
      </c>
      <c r="E478" s="4">
        <f>VLOOKUP($A478,releases,2,FALSE)</f>
        <v>9</v>
      </c>
      <c r="F478" s="4" t="str">
        <f>VLOOKUP($A478,releases,3,FALSE)</f>
        <v>US</v>
      </c>
      <c r="G478" s="4" t="str">
        <f>VLOOKUP($A478,releases,8,FALSE)</f>
        <v>Stereo</v>
      </c>
      <c r="H478" s="4" t="str">
        <f>VLOOKUP($A478,releases,4,FALSE)</f>
        <v>The Beatles (White Album)</v>
      </c>
    </row>
    <row r="479" spans="1:8" x14ac:dyDescent="0.25">
      <c r="A479" t="s">
        <v>61</v>
      </c>
      <c r="B479">
        <v>12</v>
      </c>
      <c r="C479" t="s">
        <v>257</v>
      </c>
      <c r="D479" t="s">
        <v>110</v>
      </c>
      <c r="E479" s="4">
        <f>VLOOKUP($A479,releases,2,FALSE)</f>
        <v>9</v>
      </c>
      <c r="F479" s="4" t="str">
        <f>VLOOKUP($A479,releases,3,FALSE)</f>
        <v>US</v>
      </c>
      <c r="G479" s="4" t="str">
        <f>VLOOKUP($A479,releases,8,FALSE)</f>
        <v>Stereo</v>
      </c>
      <c r="H479" s="4" t="str">
        <f>VLOOKUP($A479,releases,4,FALSE)</f>
        <v>The Beatles (White Album)</v>
      </c>
    </row>
    <row r="480" spans="1:8" x14ac:dyDescent="0.25">
      <c r="A480" t="s">
        <v>61</v>
      </c>
      <c r="B480">
        <v>13</v>
      </c>
      <c r="C480" t="s">
        <v>258</v>
      </c>
      <c r="D480" t="s">
        <v>105</v>
      </c>
      <c r="E480" s="4">
        <f>VLOOKUP($A480,releases,2,FALSE)</f>
        <v>9</v>
      </c>
      <c r="F480" s="4" t="str">
        <f>VLOOKUP($A480,releases,3,FALSE)</f>
        <v>US</v>
      </c>
      <c r="G480" s="4" t="str">
        <f>VLOOKUP($A480,releases,8,FALSE)</f>
        <v>Stereo</v>
      </c>
      <c r="H480" s="4" t="str">
        <f>VLOOKUP($A480,releases,4,FALSE)</f>
        <v>The Beatles (White Album)</v>
      </c>
    </row>
    <row r="481" spans="1:8" x14ac:dyDescent="0.25">
      <c r="A481" t="s">
        <v>61</v>
      </c>
      <c r="B481">
        <v>14</v>
      </c>
      <c r="C481" t="s">
        <v>259</v>
      </c>
      <c r="D481" t="s">
        <v>260</v>
      </c>
      <c r="E481" s="4">
        <f>VLOOKUP($A481,releases,2,FALSE)</f>
        <v>9</v>
      </c>
      <c r="F481" s="4" t="str">
        <f>VLOOKUP($A481,releases,3,FALSE)</f>
        <v>US</v>
      </c>
      <c r="G481" s="4" t="str">
        <f>VLOOKUP($A481,releases,8,FALSE)</f>
        <v>Stereo</v>
      </c>
      <c r="H481" s="4" t="str">
        <f>VLOOKUP($A481,releases,4,FALSE)</f>
        <v>The Beatles (White Album)</v>
      </c>
    </row>
    <row r="482" spans="1:8" x14ac:dyDescent="0.25">
      <c r="A482" t="s">
        <v>61</v>
      </c>
      <c r="B482">
        <v>15</v>
      </c>
      <c r="C482" t="s">
        <v>261</v>
      </c>
      <c r="D482" t="s">
        <v>105</v>
      </c>
      <c r="E482" s="4">
        <f>VLOOKUP($A482,releases,2,FALSE)</f>
        <v>9</v>
      </c>
      <c r="F482" s="4" t="str">
        <f>VLOOKUP($A482,releases,3,FALSE)</f>
        <v>US</v>
      </c>
      <c r="G482" s="4" t="str">
        <f>VLOOKUP($A482,releases,8,FALSE)</f>
        <v>Stereo</v>
      </c>
      <c r="H482" s="4" t="str">
        <f>VLOOKUP($A482,releases,4,FALSE)</f>
        <v>The Beatles (White Album)</v>
      </c>
    </row>
    <row r="483" spans="1:8" x14ac:dyDescent="0.25">
      <c r="A483" t="s">
        <v>61</v>
      </c>
      <c r="B483">
        <v>16</v>
      </c>
      <c r="C483" t="s">
        <v>262</v>
      </c>
      <c r="D483" t="s">
        <v>105</v>
      </c>
      <c r="E483" s="4">
        <f>VLOOKUP($A483,releases,2,FALSE)</f>
        <v>9</v>
      </c>
      <c r="F483" s="4" t="str">
        <f>VLOOKUP($A483,releases,3,FALSE)</f>
        <v>US</v>
      </c>
      <c r="G483" s="4" t="str">
        <f>VLOOKUP($A483,releases,8,FALSE)</f>
        <v>Stereo</v>
      </c>
      <c r="H483" s="4" t="str">
        <f>VLOOKUP($A483,releases,4,FALSE)</f>
        <v>The Beatles (White Album)</v>
      </c>
    </row>
    <row r="484" spans="1:8" x14ac:dyDescent="0.25">
      <c r="A484" t="s">
        <v>61</v>
      </c>
      <c r="B484">
        <v>17</v>
      </c>
      <c r="C484" t="s">
        <v>263</v>
      </c>
      <c r="D484" t="s">
        <v>105</v>
      </c>
      <c r="E484" s="4">
        <f>VLOOKUP($A484,releases,2,FALSE)</f>
        <v>9</v>
      </c>
      <c r="F484" s="4" t="str">
        <f>VLOOKUP($A484,releases,3,FALSE)</f>
        <v>US</v>
      </c>
      <c r="G484" s="4" t="str">
        <f>VLOOKUP($A484,releases,8,FALSE)</f>
        <v>Stereo</v>
      </c>
      <c r="H484" s="4" t="str">
        <f>VLOOKUP($A484,releases,4,FALSE)</f>
        <v>The Beatles (White Album)</v>
      </c>
    </row>
    <row r="485" spans="1:8" x14ac:dyDescent="0.25">
      <c r="A485" t="s">
        <v>61</v>
      </c>
      <c r="B485">
        <v>18</v>
      </c>
      <c r="C485" t="s">
        <v>264</v>
      </c>
      <c r="D485" t="s">
        <v>105</v>
      </c>
      <c r="E485" s="4">
        <f>VLOOKUP($A485,releases,2,FALSE)</f>
        <v>9</v>
      </c>
      <c r="F485" s="4" t="str">
        <f>VLOOKUP($A485,releases,3,FALSE)</f>
        <v>US</v>
      </c>
      <c r="G485" s="4" t="str">
        <f>VLOOKUP($A485,releases,8,FALSE)</f>
        <v>Stereo</v>
      </c>
      <c r="H485" s="4" t="str">
        <f>VLOOKUP($A485,releases,4,FALSE)</f>
        <v>The Beatles (White Album)</v>
      </c>
    </row>
    <row r="486" spans="1:8" x14ac:dyDescent="0.25">
      <c r="A486" t="s">
        <v>61</v>
      </c>
      <c r="B486">
        <v>19</v>
      </c>
      <c r="C486" t="s">
        <v>265</v>
      </c>
      <c r="D486" t="s">
        <v>105</v>
      </c>
      <c r="E486" s="4">
        <f>VLOOKUP($A486,releases,2,FALSE)</f>
        <v>9</v>
      </c>
      <c r="F486" s="4" t="str">
        <f>VLOOKUP($A486,releases,3,FALSE)</f>
        <v>US</v>
      </c>
      <c r="G486" s="4" t="str">
        <f>VLOOKUP($A486,releases,8,FALSE)</f>
        <v>Stereo</v>
      </c>
      <c r="H486" s="4" t="str">
        <f>VLOOKUP($A486,releases,4,FALSE)</f>
        <v>The Beatles (White Album)</v>
      </c>
    </row>
    <row r="487" spans="1:8" x14ac:dyDescent="0.25">
      <c r="A487" t="s">
        <v>61</v>
      </c>
      <c r="B487">
        <v>20</v>
      </c>
      <c r="C487" t="s">
        <v>266</v>
      </c>
      <c r="D487" t="s">
        <v>105</v>
      </c>
      <c r="E487" s="4">
        <f>VLOOKUP($A487,releases,2,FALSE)</f>
        <v>9</v>
      </c>
      <c r="F487" s="4" t="str">
        <f>VLOOKUP($A487,releases,3,FALSE)</f>
        <v>US</v>
      </c>
      <c r="G487" s="4" t="str">
        <f>VLOOKUP($A487,releases,8,FALSE)</f>
        <v>Stereo</v>
      </c>
      <c r="H487" s="4" t="str">
        <f>VLOOKUP($A487,releases,4,FALSE)</f>
        <v>The Beatles (White Album)</v>
      </c>
    </row>
    <row r="488" spans="1:8" x14ac:dyDescent="0.25">
      <c r="A488" t="s">
        <v>61</v>
      </c>
      <c r="B488">
        <v>21</v>
      </c>
      <c r="C488" t="s">
        <v>267</v>
      </c>
      <c r="D488" t="s">
        <v>105</v>
      </c>
      <c r="E488" s="4">
        <f>VLOOKUP($A488,releases,2,FALSE)</f>
        <v>9</v>
      </c>
      <c r="F488" s="4" t="str">
        <f>VLOOKUP($A488,releases,3,FALSE)</f>
        <v>US</v>
      </c>
      <c r="G488" s="4" t="str">
        <f>VLOOKUP($A488,releases,8,FALSE)</f>
        <v>Stereo</v>
      </c>
      <c r="H488" s="4" t="str">
        <f>VLOOKUP($A488,releases,4,FALSE)</f>
        <v>The Beatles (White Album)</v>
      </c>
    </row>
    <row r="489" spans="1:8" x14ac:dyDescent="0.25">
      <c r="A489" t="s">
        <v>61</v>
      </c>
      <c r="B489">
        <v>22</v>
      </c>
      <c r="C489" t="s">
        <v>268</v>
      </c>
      <c r="D489" t="s">
        <v>105</v>
      </c>
      <c r="E489" s="4">
        <f>VLOOKUP($A489,releases,2,FALSE)</f>
        <v>9</v>
      </c>
      <c r="F489" s="4" t="str">
        <f>VLOOKUP($A489,releases,3,FALSE)</f>
        <v>US</v>
      </c>
      <c r="G489" s="4" t="str">
        <f>VLOOKUP($A489,releases,8,FALSE)</f>
        <v>Stereo</v>
      </c>
      <c r="H489" s="4" t="str">
        <f>VLOOKUP($A489,releases,4,FALSE)</f>
        <v>The Beatles (White Album)</v>
      </c>
    </row>
    <row r="490" spans="1:8" x14ac:dyDescent="0.25">
      <c r="A490" t="s">
        <v>61</v>
      </c>
      <c r="B490">
        <v>23</v>
      </c>
      <c r="C490" t="s">
        <v>269</v>
      </c>
      <c r="D490" t="s">
        <v>105</v>
      </c>
      <c r="E490" s="4">
        <f>VLOOKUP($A490,releases,2,FALSE)</f>
        <v>9</v>
      </c>
      <c r="F490" s="4" t="str">
        <f>VLOOKUP($A490,releases,3,FALSE)</f>
        <v>US</v>
      </c>
      <c r="G490" s="4" t="str">
        <f>VLOOKUP($A490,releases,8,FALSE)</f>
        <v>Stereo</v>
      </c>
      <c r="H490" s="4" t="str">
        <f>VLOOKUP($A490,releases,4,FALSE)</f>
        <v>The Beatles (White Album)</v>
      </c>
    </row>
    <row r="491" spans="1:8" x14ac:dyDescent="0.25">
      <c r="A491" t="s">
        <v>61</v>
      </c>
      <c r="B491">
        <v>24</v>
      </c>
      <c r="C491" t="s">
        <v>270</v>
      </c>
      <c r="D491" t="s">
        <v>110</v>
      </c>
      <c r="E491" s="4">
        <f>VLOOKUP($A491,releases,2,FALSE)</f>
        <v>9</v>
      </c>
      <c r="F491" s="4" t="str">
        <f>VLOOKUP($A491,releases,3,FALSE)</f>
        <v>US</v>
      </c>
      <c r="G491" s="4" t="str">
        <f>VLOOKUP($A491,releases,8,FALSE)</f>
        <v>Stereo</v>
      </c>
      <c r="H491" s="4" t="str">
        <f>VLOOKUP($A491,releases,4,FALSE)</f>
        <v>The Beatles (White Album)</v>
      </c>
    </row>
    <row r="492" spans="1:8" x14ac:dyDescent="0.25">
      <c r="A492" t="s">
        <v>61</v>
      </c>
      <c r="B492">
        <v>25</v>
      </c>
      <c r="C492" t="s">
        <v>271</v>
      </c>
      <c r="D492" t="s">
        <v>105</v>
      </c>
      <c r="E492" s="4">
        <f>VLOOKUP($A492,releases,2,FALSE)</f>
        <v>9</v>
      </c>
      <c r="F492" s="4" t="str">
        <f>VLOOKUP($A492,releases,3,FALSE)</f>
        <v>US</v>
      </c>
      <c r="G492" s="4" t="str">
        <f>VLOOKUP($A492,releases,8,FALSE)</f>
        <v>Stereo</v>
      </c>
      <c r="H492" s="4" t="str">
        <f>VLOOKUP($A492,releases,4,FALSE)</f>
        <v>The Beatles (White Album)</v>
      </c>
    </row>
    <row r="493" spans="1:8" x14ac:dyDescent="0.25">
      <c r="A493" t="s">
        <v>61</v>
      </c>
      <c r="B493">
        <v>26</v>
      </c>
      <c r="C493" t="s">
        <v>272</v>
      </c>
      <c r="D493" t="s">
        <v>105</v>
      </c>
      <c r="E493" s="4">
        <f>VLOOKUP($A493,releases,2,FALSE)</f>
        <v>9</v>
      </c>
      <c r="F493" s="4" t="str">
        <f>VLOOKUP($A493,releases,3,FALSE)</f>
        <v>US</v>
      </c>
      <c r="G493" s="4" t="str">
        <f>VLOOKUP($A493,releases,8,FALSE)</f>
        <v>Stereo</v>
      </c>
      <c r="H493" s="4" t="str">
        <f>VLOOKUP($A493,releases,4,FALSE)</f>
        <v>The Beatles (White Album)</v>
      </c>
    </row>
    <row r="494" spans="1:8" x14ac:dyDescent="0.25">
      <c r="A494" t="s">
        <v>61</v>
      </c>
      <c r="B494">
        <v>27</v>
      </c>
      <c r="C494" t="s">
        <v>273</v>
      </c>
      <c r="D494" t="s">
        <v>110</v>
      </c>
      <c r="E494" s="4">
        <f>VLOOKUP($A494,releases,2,FALSE)</f>
        <v>9</v>
      </c>
      <c r="F494" s="4" t="str">
        <f>VLOOKUP($A494,releases,3,FALSE)</f>
        <v>US</v>
      </c>
      <c r="G494" s="4" t="str">
        <f>VLOOKUP($A494,releases,8,FALSE)</f>
        <v>Stereo</v>
      </c>
      <c r="H494" s="4" t="str">
        <f>VLOOKUP($A494,releases,4,FALSE)</f>
        <v>The Beatles (White Album)</v>
      </c>
    </row>
    <row r="495" spans="1:8" x14ac:dyDescent="0.25">
      <c r="A495" t="s">
        <v>61</v>
      </c>
      <c r="B495">
        <v>28</v>
      </c>
      <c r="C495" t="s">
        <v>274</v>
      </c>
      <c r="D495" t="s">
        <v>105</v>
      </c>
      <c r="E495" s="4">
        <f>VLOOKUP($A495,releases,2,FALSE)</f>
        <v>9</v>
      </c>
      <c r="F495" s="4" t="str">
        <f>VLOOKUP($A495,releases,3,FALSE)</f>
        <v>US</v>
      </c>
      <c r="G495" s="4" t="str">
        <f>VLOOKUP($A495,releases,8,FALSE)</f>
        <v>Stereo</v>
      </c>
      <c r="H495" s="4" t="str">
        <f>VLOOKUP($A495,releases,4,FALSE)</f>
        <v>The Beatles (White Album)</v>
      </c>
    </row>
    <row r="496" spans="1:8" x14ac:dyDescent="0.25">
      <c r="A496" t="s">
        <v>61</v>
      </c>
      <c r="B496">
        <v>29</v>
      </c>
      <c r="C496" t="s">
        <v>275</v>
      </c>
      <c r="D496" t="s">
        <v>105</v>
      </c>
      <c r="E496" s="4">
        <f>VLOOKUP($A496,releases,2,FALSE)</f>
        <v>9</v>
      </c>
      <c r="F496" s="4" t="str">
        <f>VLOOKUP($A496,releases,3,FALSE)</f>
        <v>US</v>
      </c>
      <c r="G496" s="4" t="str">
        <f>VLOOKUP($A496,releases,8,FALSE)</f>
        <v>Stereo</v>
      </c>
      <c r="H496" s="4" t="str">
        <f>VLOOKUP($A496,releases,4,FALSE)</f>
        <v>The Beatles (White Album)</v>
      </c>
    </row>
    <row r="497" spans="1:8" x14ac:dyDescent="0.25">
      <c r="A497" t="s">
        <v>61</v>
      </c>
      <c r="B497">
        <v>30</v>
      </c>
      <c r="C497" t="s">
        <v>276</v>
      </c>
      <c r="D497" t="s">
        <v>105</v>
      </c>
      <c r="E497" s="4">
        <f>VLOOKUP($A497,releases,2,FALSE)</f>
        <v>9</v>
      </c>
      <c r="F497" s="4" t="str">
        <f>VLOOKUP($A497,releases,3,FALSE)</f>
        <v>US</v>
      </c>
      <c r="G497" s="4" t="str">
        <f>VLOOKUP($A497,releases,8,FALSE)</f>
        <v>Stereo</v>
      </c>
      <c r="H497" s="4" t="str">
        <f>VLOOKUP($A497,releases,4,FALSE)</f>
        <v>The Beatles (White Album)</v>
      </c>
    </row>
    <row r="498" spans="1:8" x14ac:dyDescent="0.25">
      <c r="A498" t="s">
        <v>62</v>
      </c>
      <c r="B498">
        <v>1</v>
      </c>
      <c r="C498" t="s">
        <v>63</v>
      </c>
      <c r="D498" t="s">
        <v>105</v>
      </c>
      <c r="E498" s="4">
        <f>VLOOKUP($A498,releases,2,FALSE)</f>
        <v>10</v>
      </c>
      <c r="F498" s="4" t="str">
        <f>VLOOKUP($A498,releases,3,FALSE)</f>
        <v>UK</v>
      </c>
      <c r="G498" s="4" t="str">
        <f>VLOOKUP($A498,releases,8,FALSE)</f>
        <v>Stereo</v>
      </c>
      <c r="H498" s="4" t="str">
        <f>VLOOKUP($A498,releases,4,FALSE)</f>
        <v>Yellow Submarine</v>
      </c>
    </row>
    <row r="499" spans="1:8" x14ac:dyDescent="0.25">
      <c r="A499" t="s">
        <v>62</v>
      </c>
      <c r="B499">
        <v>2</v>
      </c>
      <c r="C499" t="s">
        <v>277</v>
      </c>
      <c r="D499" t="s">
        <v>110</v>
      </c>
      <c r="E499" s="4">
        <f>VLOOKUP($A499,releases,2,FALSE)</f>
        <v>10</v>
      </c>
      <c r="F499" s="4" t="str">
        <f>VLOOKUP($A499,releases,3,FALSE)</f>
        <v>UK</v>
      </c>
      <c r="G499" s="4" t="str">
        <f>VLOOKUP($A499,releases,8,FALSE)</f>
        <v>Stereo</v>
      </c>
      <c r="H499" s="4" t="str">
        <f>VLOOKUP($A499,releases,4,FALSE)</f>
        <v>Yellow Submarine</v>
      </c>
    </row>
    <row r="500" spans="1:8" x14ac:dyDescent="0.25">
      <c r="A500" t="s">
        <v>62</v>
      </c>
      <c r="B500">
        <v>3</v>
      </c>
      <c r="C500" t="s">
        <v>278</v>
      </c>
      <c r="D500" t="s">
        <v>105</v>
      </c>
      <c r="E500" s="4">
        <f>VLOOKUP($A500,releases,2,FALSE)</f>
        <v>10</v>
      </c>
      <c r="F500" s="4" t="str">
        <f>VLOOKUP($A500,releases,3,FALSE)</f>
        <v>UK</v>
      </c>
      <c r="G500" s="4" t="str">
        <f>VLOOKUP($A500,releases,8,FALSE)</f>
        <v>Stereo</v>
      </c>
      <c r="H500" s="4" t="str">
        <f>VLOOKUP($A500,releases,4,FALSE)</f>
        <v>Yellow Submarine</v>
      </c>
    </row>
    <row r="501" spans="1:8" x14ac:dyDescent="0.25">
      <c r="A501" t="s">
        <v>62</v>
      </c>
      <c r="B501">
        <v>4</v>
      </c>
      <c r="C501" t="s">
        <v>279</v>
      </c>
      <c r="D501" t="s">
        <v>105</v>
      </c>
      <c r="E501" s="4">
        <f>VLOOKUP($A501,releases,2,FALSE)</f>
        <v>10</v>
      </c>
      <c r="F501" s="4" t="str">
        <f>VLOOKUP($A501,releases,3,FALSE)</f>
        <v>UK</v>
      </c>
      <c r="G501" s="4" t="str">
        <f>VLOOKUP($A501,releases,8,FALSE)</f>
        <v>Stereo</v>
      </c>
      <c r="H501" s="4" t="str">
        <f>VLOOKUP($A501,releases,4,FALSE)</f>
        <v>Yellow Submarine</v>
      </c>
    </row>
    <row r="502" spans="1:8" x14ac:dyDescent="0.25">
      <c r="A502" t="s">
        <v>62</v>
      </c>
      <c r="B502">
        <v>5</v>
      </c>
      <c r="C502" t="s">
        <v>280</v>
      </c>
      <c r="D502" t="s">
        <v>110</v>
      </c>
      <c r="E502" s="4">
        <f>VLOOKUP($A502,releases,2,FALSE)</f>
        <v>10</v>
      </c>
      <c r="F502" s="4" t="str">
        <f>VLOOKUP($A502,releases,3,FALSE)</f>
        <v>UK</v>
      </c>
      <c r="G502" s="4" t="str">
        <f>VLOOKUP($A502,releases,8,FALSE)</f>
        <v>Stereo</v>
      </c>
      <c r="H502" s="4" t="str">
        <f>VLOOKUP($A502,releases,4,FALSE)</f>
        <v>Yellow Submarine</v>
      </c>
    </row>
    <row r="503" spans="1:8" x14ac:dyDescent="0.25">
      <c r="A503" t="s">
        <v>62</v>
      </c>
      <c r="B503">
        <v>6</v>
      </c>
      <c r="C503" t="s">
        <v>281</v>
      </c>
      <c r="D503" t="s">
        <v>105</v>
      </c>
      <c r="E503" s="4">
        <f>VLOOKUP($A503,releases,2,FALSE)</f>
        <v>10</v>
      </c>
      <c r="F503" s="4" t="str">
        <f>VLOOKUP($A503,releases,3,FALSE)</f>
        <v>UK</v>
      </c>
      <c r="G503" s="4" t="str">
        <f>VLOOKUP($A503,releases,8,FALSE)</f>
        <v>Stereo</v>
      </c>
      <c r="H503" s="4" t="str">
        <f>VLOOKUP($A503,releases,4,FALSE)</f>
        <v>Yellow Submarine</v>
      </c>
    </row>
    <row r="504" spans="1:8" x14ac:dyDescent="0.25">
      <c r="A504" t="s">
        <v>62</v>
      </c>
      <c r="B504">
        <v>7</v>
      </c>
      <c r="C504" t="s">
        <v>282</v>
      </c>
      <c r="D504" t="s">
        <v>84</v>
      </c>
      <c r="E504" s="4">
        <f>VLOOKUP($A504,releases,2,FALSE)</f>
        <v>10</v>
      </c>
      <c r="F504" s="4" t="str">
        <f>VLOOKUP($A504,releases,3,FALSE)</f>
        <v>UK</v>
      </c>
      <c r="G504" s="4" t="str">
        <f>VLOOKUP($A504,releases,8,FALSE)</f>
        <v>Stereo</v>
      </c>
      <c r="H504" s="4" t="str">
        <f>VLOOKUP($A504,releases,4,FALSE)</f>
        <v>Yellow Submarine</v>
      </c>
    </row>
    <row r="505" spans="1:8" x14ac:dyDescent="0.25">
      <c r="A505" t="s">
        <v>62</v>
      </c>
      <c r="B505">
        <v>8</v>
      </c>
      <c r="C505" t="s">
        <v>283</v>
      </c>
      <c r="D505" t="s">
        <v>84</v>
      </c>
      <c r="E505" s="4">
        <f>VLOOKUP($A505,releases,2,FALSE)</f>
        <v>10</v>
      </c>
      <c r="F505" s="4" t="str">
        <f>VLOOKUP($A505,releases,3,FALSE)</f>
        <v>UK</v>
      </c>
      <c r="G505" s="4" t="str">
        <f>VLOOKUP($A505,releases,8,FALSE)</f>
        <v>Stereo</v>
      </c>
      <c r="H505" s="4" t="str">
        <f>VLOOKUP($A505,releases,4,FALSE)</f>
        <v>Yellow Submarine</v>
      </c>
    </row>
    <row r="506" spans="1:8" x14ac:dyDescent="0.25">
      <c r="A506" t="s">
        <v>62</v>
      </c>
      <c r="B506">
        <v>9</v>
      </c>
      <c r="C506" t="s">
        <v>284</v>
      </c>
      <c r="D506" t="s">
        <v>84</v>
      </c>
      <c r="E506" s="4">
        <f>VLOOKUP($A506,releases,2,FALSE)</f>
        <v>10</v>
      </c>
      <c r="F506" s="4" t="str">
        <f>VLOOKUP($A506,releases,3,FALSE)</f>
        <v>UK</v>
      </c>
      <c r="G506" s="4" t="str">
        <f>VLOOKUP($A506,releases,8,FALSE)</f>
        <v>Stereo</v>
      </c>
      <c r="H506" s="4" t="str">
        <f>VLOOKUP($A506,releases,4,FALSE)</f>
        <v>Yellow Submarine</v>
      </c>
    </row>
    <row r="507" spans="1:8" x14ac:dyDescent="0.25">
      <c r="A507" t="s">
        <v>62</v>
      </c>
      <c r="B507">
        <v>10</v>
      </c>
      <c r="C507" t="s">
        <v>285</v>
      </c>
      <c r="D507" t="s">
        <v>84</v>
      </c>
      <c r="E507" s="4">
        <f>VLOOKUP($A507,releases,2,FALSE)</f>
        <v>10</v>
      </c>
      <c r="F507" s="4" t="str">
        <f>VLOOKUP($A507,releases,3,FALSE)</f>
        <v>UK</v>
      </c>
      <c r="G507" s="4" t="str">
        <f>VLOOKUP($A507,releases,8,FALSE)</f>
        <v>Stereo</v>
      </c>
      <c r="H507" s="4" t="str">
        <f>VLOOKUP($A507,releases,4,FALSE)</f>
        <v>Yellow Submarine</v>
      </c>
    </row>
    <row r="508" spans="1:8" x14ac:dyDescent="0.25">
      <c r="A508" t="s">
        <v>62</v>
      </c>
      <c r="B508">
        <v>11</v>
      </c>
      <c r="C508" t="s">
        <v>286</v>
      </c>
      <c r="D508" t="s">
        <v>84</v>
      </c>
      <c r="E508" s="4">
        <f>VLOOKUP($A508,releases,2,FALSE)</f>
        <v>10</v>
      </c>
      <c r="F508" s="4" t="str">
        <f>VLOOKUP($A508,releases,3,FALSE)</f>
        <v>UK</v>
      </c>
      <c r="G508" s="4" t="str">
        <f>VLOOKUP($A508,releases,8,FALSE)</f>
        <v>Stereo</v>
      </c>
      <c r="H508" s="4" t="str">
        <f>VLOOKUP($A508,releases,4,FALSE)</f>
        <v>Yellow Submarine</v>
      </c>
    </row>
    <row r="509" spans="1:8" x14ac:dyDescent="0.25">
      <c r="A509" t="s">
        <v>62</v>
      </c>
      <c r="B509">
        <v>12</v>
      </c>
      <c r="C509" t="s">
        <v>287</v>
      </c>
      <c r="D509" t="s">
        <v>84</v>
      </c>
      <c r="E509" s="4">
        <f>VLOOKUP($A509,releases,2,FALSE)</f>
        <v>10</v>
      </c>
      <c r="F509" s="4" t="str">
        <f>VLOOKUP($A509,releases,3,FALSE)</f>
        <v>UK</v>
      </c>
      <c r="G509" s="4" t="str">
        <f>VLOOKUP($A509,releases,8,FALSE)</f>
        <v>Stereo</v>
      </c>
      <c r="H509" s="4" t="str">
        <f>VLOOKUP($A509,releases,4,FALSE)</f>
        <v>Yellow Submarine</v>
      </c>
    </row>
    <row r="510" spans="1:8" x14ac:dyDescent="0.25">
      <c r="A510" t="s">
        <v>62</v>
      </c>
      <c r="B510">
        <v>13</v>
      </c>
      <c r="C510" t="s">
        <v>288</v>
      </c>
      <c r="D510" t="s">
        <v>84</v>
      </c>
      <c r="E510" s="4">
        <f>VLOOKUP($A510,releases,2,FALSE)</f>
        <v>10</v>
      </c>
      <c r="F510" s="4" t="str">
        <f>VLOOKUP($A510,releases,3,FALSE)</f>
        <v>UK</v>
      </c>
      <c r="G510" s="4" t="str">
        <f>VLOOKUP($A510,releases,8,FALSE)</f>
        <v>Stereo</v>
      </c>
      <c r="H510" s="4" t="str">
        <f>VLOOKUP($A510,releases,4,FALSE)</f>
        <v>Yellow Submarine</v>
      </c>
    </row>
    <row r="511" spans="1:8" x14ac:dyDescent="0.25">
      <c r="A511" t="s">
        <v>64</v>
      </c>
      <c r="B511">
        <v>1</v>
      </c>
      <c r="C511" t="s">
        <v>63</v>
      </c>
      <c r="D511" t="s">
        <v>105</v>
      </c>
      <c r="E511" s="4">
        <f>VLOOKUP($A511,releases,2,FALSE)</f>
        <v>10</v>
      </c>
      <c r="F511" s="4" t="str">
        <f>VLOOKUP($A511,releases,3,FALSE)</f>
        <v>US</v>
      </c>
      <c r="G511" s="4" t="str">
        <f>VLOOKUP($A511,releases,8,FALSE)</f>
        <v>Stereo</v>
      </c>
      <c r="H511" s="4" t="str">
        <f>VLOOKUP($A511,releases,4,FALSE)</f>
        <v>Yellow Submarine</v>
      </c>
    </row>
    <row r="512" spans="1:8" x14ac:dyDescent="0.25">
      <c r="A512" t="s">
        <v>64</v>
      </c>
      <c r="B512">
        <v>2</v>
      </c>
      <c r="C512" t="s">
        <v>277</v>
      </c>
      <c r="D512" t="s">
        <v>110</v>
      </c>
      <c r="E512" s="4">
        <f>VLOOKUP($A512,releases,2,FALSE)</f>
        <v>10</v>
      </c>
      <c r="F512" s="4" t="str">
        <f>VLOOKUP($A512,releases,3,FALSE)</f>
        <v>US</v>
      </c>
      <c r="G512" s="4" t="str">
        <f>VLOOKUP($A512,releases,8,FALSE)</f>
        <v>Stereo</v>
      </c>
      <c r="H512" s="4" t="str">
        <f>VLOOKUP($A512,releases,4,FALSE)</f>
        <v>Yellow Submarine</v>
      </c>
    </row>
    <row r="513" spans="1:8" x14ac:dyDescent="0.25">
      <c r="A513" t="s">
        <v>64</v>
      </c>
      <c r="B513">
        <v>3</v>
      </c>
      <c r="C513" t="s">
        <v>278</v>
      </c>
      <c r="D513" t="s">
        <v>105</v>
      </c>
      <c r="E513" s="4">
        <f>VLOOKUP($A513,releases,2,FALSE)</f>
        <v>10</v>
      </c>
      <c r="F513" s="4" t="str">
        <f>VLOOKUP($A513,releases,3,FALSE)</f>
        <v>US</v>
      </c>
      <c r="G513" s="4" t="str">
        <f>VLOOKUP($A513,releases,8,FALSE)</f>
        <v>Stereo</v>
      </c>
      <c r="H513" s="4" t="str">
        <f>VLOOKUP($A513,releases,4,FALSE)</f>
        <v>Yellow Submarine</v>
      </c>
    </row>
    <row r="514" spans="1:8" x14ac:dyDescent="0.25">
      <c r="A514" t="s">
        <v>64</v>
      </c>
      <c r="B514">
        <v>4</v>
      </c>
      <c r="C514" t="s">
        <v>279</v>
      </c>
      <c r="D514" t="s">
        <v>105</v>
      </c>
      <c r="E514" s="4">
        <f>VLOOKUP($A514,releases,2,FALSE)</f>
        <v>10</v>
      </c>
      <c r="F514" s="4" t="str">
        <f>VLOOKUP($A514,releases,3,FALSE)</f>
        <v>US</v>
      </c>
      <c r="G514" s="4" t="str">
        <f>VLOOKUP($A514,releases,8,FALSE)</f>
        <v>Stereo</v>
      </c>
      <c r="H514" s="4" t="str">
        <f>VLOOKUP($A514,releases,4,FALSE)</f>
        <v>Yellow Submarine</v>
      </c>
    </row>
    <row r="515" spans="1:8" x14ac:dyDescent="0.25">
      <c r="A515" t="s">
        <v>64</v>
      </c>
      <c r="B515">
        <v>5</v>
      </c>
      <c r="C515" t="s">
        <v>280</v>
      </c>
      <c r="D515" t="s">
        <v>110</v>
      </c>
      <c r="E515" s="4">
        <f>VLOOKUP($A515,releases,2,FALSE)</f>
        <v>10</v>
      </c>
      <c r="F515" s="4" t="str">
        <f>VLOOKUP($A515,releases,3,FALSE)</f>
        <v>US</v>
      </c>
      <c r="G515" s="4" t="str">
        <f>VLOOKUP($A515,releases,8,FALSE)</f>
        <v>Stereo</v>
      </c>
      <c r="H515" s="4" t="str">
        <f>VLOOKUP($A515,releases,4,FALSE)</f>
        <v>Yellow Submarine</v>
      </c>
    </row>
    <row r="516" spans="1:8" x14ac:dyDescent="0.25">
      <c r="A516" t="s">
        <v>64</v>
      </c>
      <c r="B516">
        <v>6</v>
      </c>
      <c r="C516" t="s">
        <v>281</v>
      </c>
      <c r="D516" t="s">
        <v>105</v>
      </c>
      <c r="E516" s="4">
        <f>VLOOKUP($A516,releases,2,FALSE)</f>
        <v>10</v>
      </c>
      <c r="F516" s="4" t="str">
        <f>VLOOKUP($A516,releases,3,FALSE)</f>
        <v>US</v>
      </c>
      <c r="G516" s="4" t="str">
        <f>VLOOKUP($A516,releases,8,FALSE)</f>
        <v>Stereo</v>
      </c>
      <c r="H516" s="4" t="str">
        <f>VLOOKUP($A516,releases,4,FALSE)</f>
        <v>Yellow Submarine</v>
      </c>
    </row>
    <row r="517" spans="1:8" x14ac:dyDescent="0.25">
      <c r="A517" t="s">
        <v>64</v>
      </c>
      <c r="B517">
        <v>7</v>
      </c>
      <c r="C517" t="s">
        <v>282</v>
      </c>
      <c r="D517" t="s">
        <v>84</v>
      </c>
      <c r="E517" s="4">
        <f>VLOOKUP($A517,releases,2,FALSE)</f>
        <v>10</v>
      </c>
      <c r="F517" s="4" t="str">
        <f>VLOOKUP($A517,releases,3,FALSE)</f>
        <v>US</v>
      </c>
      <c r="G517" s="4" t="str">
        <f>VLOOKUP($A517,releases,8,FALSE)</f>
        <v>Stereo</v>
      </c>
      <c r="H517" s="4" t="str">
        <f>VLOOKUP($A517,releases,4,FALSE)</f>
        <v>Yellow Submarine</v>
      </c>
    </row>
    <row r="518" spans="1:8" x14ac:dyDescent="0.25">
      <c r="A518" t="s">
        <v>64</v>
      </c>
      <c r="B518">
        <v>8</v>
      </c>
      <c r="C518" t="s">
        <v>283</v>
      </c>
      <c r="D518" t="s">
        <v>84</v>
      </c>
      <c r="E518" s="4">
        <f>VLOOKUP($A518,releases,2,FALSE)</f>
        <v>10</v>
      </c>
      <c r="F518" s="4" t="str">
        <f>VLOOKUP($A518,releases,3,FALSE)</f>
        <v>US</v>
      </c>
      <c r="G518" s="4" t="str">
        <f>VLOOKUP($A518,releases,8,FALSE)</f>
        <v>Stereo</v>
      </c>
      <c r="H518" s="4" t="str">
        <f>VLOOKUP($A518,releases,4,FALSE)</f>
        <v>Yellow Submarine</v>
      </c>
    </row>
    <row r="519" spans="1:8" x14ac:dyDescent="0.25">
      <c r="A519" t="s">
        <v>64</v>
      </c>
      <c r="B519">
        <v>9</v>
      </c>
      <c r="C519" t="s">
        <v>284</v>
      </c>
      <c r="D519" t="s">
        <v>84</v>
      </c>
      <c r="E519" s="4">
        <f>VLOOKUP($A519,releases,2,FALSE)</f>
        <v>10</v>
      </c>
      <c r="F519" s="4" t="str">
        <f>VLOOKUP($A519,releases,3,FALSE)</f>
        <v>US</v>
      </c>
      <c r="G519" s="4" t="str">
        <f>VLOOKUP($A519,releases,8,FALSE)</f>
        <v>Stereo</v>
      </c>
      <c r="H519" s="4" t="str">
        <f>VLOOKUP($A519,releases,4,FALSE)</f>
        <v>Yellow Submarine</v>
      </c>
    </row>
    <row r="520" spans="1:8" x14ac:dyDescent="0.25">
      <c r="A520" t="s">
        <v>64</v>
      </c>
      <c r="B520">
        <v>10</v>
      </c>
      <c r="C520" t="s">
        <v>285</v>
      </c>
      <c r="D520" t="s">
        <v>84</v>
      </c>
      <c r="E520" s="4">
        <f>VLOOKUP($A520,releases,2,FALSE)</f>
        <v>10</v>
      </c>
      <c r="F520" s="4" t="str">
        <f>VLOOKUP($A520,releases,3,FALSE)</f>
        <v>US</v>
      </c>
      <c r="G520" s="4" t="str">
        <f>VLOOKUP($A520,releases,8,FALSE)</f>
        <v>Stereo</v>
      </c>
      <c r="H520" s="4" t="str">
        <f>VLOOKUP($A520,releases,4,FALSE)</f>
        <v>Yellow Submarine</v>
      </c>
    </row>
    <row r="521" spans="1:8" x14ac:dyDescent="0.25">
      <c r="A521" t="s">
        <v>64</v>
      </c>
      <c r="B521">
        <v>11</v>
      </c>
      <c r="C521" t="s">
        <v>286</v>
      </c>
      <c r="D521" t="s">
        <v>84</v>
      </c>
      <c r="E521" s="4">
        <f>VLOOKUP($A521,releases,2,FALSE)</f>
        <v>10</v>
      </c>
      <c r="F521" s="4" t="str">
        <f>VLOOKUP($A521,releases,3,FALSE)</f>
        <v>US</v>
      </c>
      <c r="G521" s="4" t="str">
        <f>VLOOKUP($A521,releases,8,FALSE)</f>
        <v>Stereo</v>
      </c>
      <c r="H521" s="4" t="str">
        <f>VLOOKUP($A521,releases,4,FALSE)</f>
        <v>Yellow Submarine</v>
      </c>
    </row>
    <row r="522" spans="1:8" x14ac:dyDescent="0.25">
      <c r="A522" t="s">
        <v>64</v>
      </c>
      <c r="B522">
        <v>12</v>
      </c>
      <c r="C522" t="s">
        <v>287</v>
      </c>
      <c r="D522" t="s">
        <v>84</v>
      </c>
      <c r="E522" s="4">
        <f>VLOOKUP($A522,releases,2,FALSE)</f>
        <v>10</v>
      </c>
      <c r="F522" s="4" t="str">
        <f>VLOOKUP($A522,releases,3,FALSE)</f>
        <v>US</v>
      </c>
      <c r="G522" s="4" t="str">
        <f>VLOOKUP($A522,releases,8,FALSE)</f>
        <v>Stereo</v>
      </c>
      <c r="H522" s="4" t="str">
        <f>VLOOKUP($A522,releases,4,FALSE)</f>
        <v>Yellow Submarine</v>
      </c>
    </row>
    <row r="523" spans="1:8" x14ac:dyDescent="0.25">
      <c r="A523" t="s">
        <v>64</v>
      </c>
      <c r="B523">
        <v>13</v>
      </c>
      <c r="C523" t="s">
        <v>288</v>
      </c>
      <c r="D523" t="s">
        <v>84</v>
      </c>
      <c r="E523" s="4">
        <f>VLOOKUP($A523,releases,2,FALSE)</f>
        <v>10</v>
      </c>
      <c r="F523" s="4" t="str">
        <f>VLOOKUP($A523,releases,3,FALSE)</f>
        <v>US</v>
      </c>
      <c r="G523" s="4" t="str">
        <f>VLOOKUP($A523,releases,8,FALSE)</f>
        <v>Stereo</v>
      </c>
      <c r="H523" s="4" t="str">
        <f>VLOOKUP($A523,releases,4,FALSE)</f>
        <v>Yellow Submarine</v>
      </c>
    </row>
    <row r="524" spans="1:8" x14ac:dyDescent="0.25">
      <c r="A524" t="s">
        <v>65</v>
      </c>
      <c r="B524">
        <v>1</v>
      </c>
      <c r="C524" t="s">
        <v>289</v>
      </c>
      <c r="D524" t="s">
        <v>105</v>
      </c>
      <c r="E524" s="4">
        <f>VLOOKUP($A524,releases,2,FALSE)</f>
        <v>11</v>
      </c>
      <c r="F524" s="4" t="str">
        <f>VLOOKUP($A524,releases,3,FALSE)</f>
        <v>UK</v>
      </c>
      <c r="G524" s="4" t="str">
        <f>VLOOKUP($A524,releases,8,FALSE)</f>
        <v>Stereo</v>
      </c>
      <c r="H524" s="4" t="str">
        <f>VLOOKUP($A524,releases,4,FALSE)</f>
        <v>Abbey Road</v>
      </c>
    </row>
    <row r="525" spans="1:8" x14ac:dyDescent="0.25">
      <c r="A525" t="s">
        <v>65</v>
      </c>
      <c r="B525">
        <v>2</v>
      </c>
      <c r="C525" t="s">
        <v>290</v>
      </c>
      <c r="D525" t="s">
        <v>110</v>
      </c>
      <c r="E525" s="4">
        <f>VLOOKUP($A525,releases,2,FALSE)</f>
        <v>11</v>
      </c>
      <c r="F525" s="4" t="str">
        <f>VLOOKUP($A525,releases,3,FALSE)</f>
        <v>UK</v>
      </c>
      <c r="G525" s="4" t="str">
        <f>VLOOKUP($A525,releases,8,FALSE)</f>
        <v>Stereo</v>
      </c>
      <c r="H525" s="4" t="str">
        <f>VLOOKUP($A525,releases,4,FALSE)</f>
        <v>Abbey Road</v>
      </c>
    </row>
    <row r="526" spans="1:8" x14ac:dyDescent="0.25">
      <c r="A526" t="s">
        <v>65</v>
      </c>
      <c r="B526">
        <v>3</v>
      </c>
      <c r="C526" t="s">
        <v>291</v>
      </c>
      <c r="D526" t="s">
        <v>105</v>
      </c>
      <c r="E526" s="4">
        <f>VLOOKUP($A526,releases,2,FALSE)</f>
        <v>11</v>
      </c>
      <c r="F526" s="4" t="str">
        <f>VLOOKUP($A526,releases,3,FALSE)</f>
        <v>UK</v>
      </c>
      <c r="G526" s="4" t="str">
        <f>VLOOKUP($A526,releases,8,FALSE)</f>
        <v>Stereo</v>
      </c>
      <c r="H526" s="4" t="str">
        <f>VLOOKUP($A526,releases,4,FALSE)</f>
        <v>Abbey Road</v>
      </c>
    </row>
    <row r="527" spans="1:8" x14ac:dyDescent="0.25">
      <c r="A527" t="s">
        <v>65</v>
      </c>
      <c r="B527">
        <v>4</v>
      </c>
      <c r="C527" t="s">
        <v>292</v>
      </c>
      <c r="D527" t="s">
        <v>105</v>
      </c>
      <c r="E527" s="4">
        <f>VLOOKUP($A527,releases,2,FALSE)</f>
        <v>11</v>
      </c>
      <c r="F527" s="4" t="str">
        <f>VLOOKUP($A527,releases,3,FALSE)</f>
        <v>UK</v>
      </c>
      <c r="G527" s="4" t="str">
        <f>VLOOKUP($A527,releases,8,FALSE)</f>
        <v>Stereo</v>
      </c>
      <c r="H527" s="4" t="str">
        <f>VLOOKUP($A527,releases,4,FALSE)</f>
        <v>Abbey Road</v>
      </c>
    </row>
    <row r="528" spans="1:8" x14ac:dyDescent="0.25">
      <c r="A528" t="s">
        <v>65</v>
      </c>
      <c r="B528">
        <v>5</v>
      </c>
      <c r="C528" t="s">
        <v>293</v>
      </c>
      <c r="D528" t="s">
        <v>260</v>
      </c>
      <c r="E528" s="4">
        <f>VLOOKUP($A528,releases,2,FALSE)</f>
        <v>11</v>
      </c>
      <c r="F528" s="4" t="str">
        <f>VLOOKUP($A528,releases,3,FALSE)</f>
        <v>UK</v>
      </c>
      <c r="G528" s="4" t="str">
        <f>VLOOKUP($A528,releases,8,FALSE)</f>
        <v>Stereo</v>
      </c>
      <c r="H528" s="4" t="str">
        <f>VLOOKUP($A528,releases,4,FALSE)</f>
        <v>Abbey Road</v>
      </c>
    </row>
    <row r="529" spans="1:8" x14ac:dyDescent="0.25">
      <c r="A529" t="s">
        <v>65</v>
      </c>
      <c r="B529">
        <v>6</v>
      </c>
      <c r="C529" t="s">
        <v>294</v>
      </c>
      <c r="D529" t="s">
        <v>105</v>
      </c>
      <c r="E529" s="4">
        <f>VLOOKUP($A529,releases,2,FALSE)</f>
        <v>11</v>
      </c>
      <c r="F529" s="4" t="str">
        <f>VLOOKUP($A529,releases,3,FALSE)</f>
        <v>UK</v>
      </c>
      <c r="G529" s="4" t="str">
        <f>VLOOKUP($A529,releases,8,FALSE)</f>
        <v>Stereo</v>
      </c>
      <c r="H529" s="4" t="str">
        <f>VLOOKUP($A529,releases,4,FALSE)</f>
        <v>Abbey Road</v>
      </c>
    </row>
    <row r="530" spans="1:8" x14ac:dyDescent="0.25">
      <c r="A530" t="s">
        <v>65</v>
      </c>
      <c r="B530">
        <v>7</v>
      </c>
      <c r="C530" t="s">
        <v>295</v>
      </c>
      <c r="D530" t="s">
        <v>110</v>
      </c>
      <c r="E530" s="4">
        <f>VLOOKUP($A530,releases,2,FALSE)</f>
        <v>11</v>
      </c>
      <c r="F530" s="4" t="str">
        <f>VLOOKUP($A530,releases,3,FALSE)</f>
        <v>UK</v>
      </c>
      <c r="G530" s="4" t="str">
        <f>VLOOKUP($A530,releases,8,FALSE)</f>
        <v>Stereo</v>
      </c>
      <c r="H530" s="4" t="str">
        <f>VLOOKUP($A530,releases,4,FALSE)</f>
        <v>Abbey Road</v>
      </c>
    </row>
    <row r="531" spans="1:8" x14ac:dyDescent="0.25">
      <c r="A531" t="s">
        <v>65</v>
      </c>
      <c r="B531">
        <v>8</v>
      </c>
      <c r="C531" t="s">
        <v>296</v>
      </c>
      <c r="D531" t="s">
        <v>105</v>
      </c>
      <c r="E531" s="4">
        <f>VLOOKUP($A531,releases,2,FALSE)</f>
        <v>11</v>
      </c>
      <c r="F531" s="4" t="str">
        <f>VLOOKUP($A531,releases,3,FALSE)</f>
        <v>UK</v>
      </c>
      <c r="G531" s="4" t="str">
        <f>VLOOKUP($A531,releases,8,FALSE)</f>
        <v>Stereo</v>
      </c>
      <c r="H531" s="4" t="str">
        <f>VLOOKUP($A531,releases,4,FALSE)</f>
        <v>Abbey Road</v>
      </c>
    </row>
    <row r="532" spans="1:8" x14ac:dyDescent="0.25">
      <c r="A532" t="s">
        <v>65</v>
      </c>
      <c r="B532">
        <v>9</v>
      </c>
      <c r="C532" t="s">
        <v>297</v>
      </c>
      <c r="D532" t="s">
        <v>105</v>
      </c>
      <c r="E532" s="4">
        <f>VLOOKUP($A532,releases,2,FALSE)</f>
        <v>11</v>
      </c>
      <c r="F532" s="4" t="str">
        <f>VLOOKUP($A532,releases,3,FALSE)</f>
        <v>UK</v>
      </c>
      <c r="G532" s="4" t="str">
        <f>VLOOKUP($A532,releases,8,FALSE)</f>
        <v>Stereo</v>
      </c>
      <c r="H532" s="4" t="str">
        <f>VLOOKUP($A532,releases,4,FALSE)</f>
        <v>Abbey Road</v>
      </c>
    </row>
    <row r="533" spans="1:8" x14ac:dyDescent="0.25">
      <c r="A533" t="s">
        <v>65</v>
      </c>
      <c r="B533">
        <v>10</v>
      </c>
      <c r="C533" t="s">
        <v>298</v>
      </c>
      <c r="D533" t="s">
        <v>105</v>
      </c>
      <c r="E533" s="4">
        <f>VLOOKUP($A533,releases,2,FALSE)</f>
        <v>11</v>
      </c>
      <c r="F533" s="4" t="str">
        <f>VLOOKUP($A533,releases,3,FALSE)</f>
        <v>UK</v>
      </c>
      <c r="G533" s="4" t="str">
        <f>VLOOKUP($A533,releases,8,FALSE)</f>
        <v>Stereo</v>
      </c>
      <c r="H533" s="4" t="str">
        <f>VLOOKUP($A533,releases,4,FALSE)</f>
        <v>Abbey Road</v>
      </c>
    </row>
    <row r="534" spans="1:8" x14ac:dyDescent="0.25">
      <c r="A534" t="s">
        <v>65</v>
      </c>
      <c r="B534">
        <v>11</v>
      </c>
      <c r="C534" t="s">
        <v>299</v>
      </c>
      <c r="D534" t="s">
        <v>105</v>
      </c>
      <c r="E534" s="4">
        <f>VLOOKUP($A534,releases,2,FALSE)</f>
        <v>11</v>
      </c>
      <c r="F534" s="4" t="str">
        <f>VLOOKUP($A534,releases,3,FALSE)</f>
        <v>UK</v>
      </c>
      <c r="G534" s="4" t="str">
        <f>VLOOKUP($A534,releases,8,FALSE)</f>
        <v>Stereo</v>
      </c>
      <c r="H534" s="4" t="str">
        <f>VLOOKUP($A534,releases,4,FALSE)</f>
        <v>Abbey Road</v>
      </c>
    </row>
    <row r="535" spans="1:8" x14ac:dyDescent="0.25">
      <c r="A535" t="s">
        <v>65</v>
      </c>
      <c r="B535">
        <v>12</v>
      </c>
      <c r="C535" t="s">
        <v>300</v>
      </c>
      <c r="D535" t="s">
        <v>105</v>
      </c>
      <c r="E535" s="4">
        <f>VLOOKUP($A535,releases,2,FALSE)</f>
        <v>11</v>
      </c>
      <c r="F535" s="4" t="str">
        <f>VLOOKUP($A535,releases,3,FALSE)</f>
        <v>UK</v>
      </c>
      <c r="G535" s="4" t="str">
        <f>VLOOKUP($A535,releases,8,FALSE)</f>
        <v>Stereo</v>
      </c>
      <c r="H535" s="4" t="str">
        <f>VLOOKUP($A535,releases,4,FALSE)</f>
        <v>Abbey Road</v>
      </c>
    </row>
    <row r="536" spans="1:8" x14ac:dyDescent="0.25">
      <c r="A536" t="s">
        <v>65</v>
      </c>
      <c r="B536">
        <v>13</v>
      </c>
      <c r="C536" t="s">
        <v>301</v>
      </c>
      <c r="D536" t="s">
        <v>105</v>
      </c>
      <c r="E536" s="4">
        <f>VLOOKUP($A536,releases,2,FALSE)</f>
        <v>11</v>
      </c>
      <c r="F536" s="4" t="str">
        <f>VLOOKUP($A536,releases,3,FALSE)</f>
        <v>UK</v>
      </c>
      <c r="G536" s="4" t="str">
        <f>VLOOKUP($A536,releases,8,FALSE)</f>
        <v>Stereo</v>
      </c>
      <c r="H536" s="4" t="str">
        <f>VLOOKUP($A536,releases,4,FALSE)</f>
        <v>Abbey Road</v>
      </c>
    </row>
    <row r="537" spans="1:8" x14ac:dyDescent="0.25">
      <c r="A537" t="s">
        <v>65</v>
      </c>
      <c r="B537">
        <v>14</v>
      </c>
      <c r="C537" t="s">
        <v>302</v>
      </c>
      <c r="D537" t="s">
        <v>105</v>
      </c>
      <c r="E537" s="4">
        <f>VLOOKUP($A537,releases,2,FALSE)</f>
        <v>11</v>
      </c>
      <c r="F537" s="4" t="str">
        <f>VLOOKUP($A537,releases,3,FALSE)</f>
        <v>UK</v>
      </c>
      <c r="G537" s="4" t="str">
        <f>VLOOKUP($A537,releases,8,FALSE)</f>
        <v>Stereo</v>
      </c>
      <c r="H537" s="4" t="str">
        <f>VLOOKUP($A537,releases,4,FALSE)</f>
        <v>Abbey Road</v>
      </c>
    </row>
    <row r="538" spans="1:8" x14ac:dyDescent="0.25">
      <c r="A538" t="s">
        <v>65</v>
      </c>
      <c r="B538">
        <v>15</v>
      </c>
      <c r="C538" t="s">
        <v>303</v>
      </c>
      <c r="D538" t="s">
        <v>105</v>
      </c>
      <c r="E538" s="4">
        <f>VLOOKUP($A538,releases,2,FALSE)</f>
        <v>11</v>
      </c>
      <c r="F538" s="4" t="str">
        <f>VLOOKUP($A538,releases,3,FALSE)</f>
        <v>UK</v>
      </c>
      <c r="G538" s="4" t="str">
        <f>VLOOKUP($A538,releases,8,FALSE)</f>
        <v>Stereo</v>
      </c>
      <c r="H538" s="4" t="str">
        <f>VLOOKUP($A538,releases,4,FALSE)</f>
        <v>Abbey Road</v>
      </c>
    </row>
    <row r="539" spans="1:8" x14ac:dyDescent="0.25">
      <c r="A539" t="s">
        <v>65</v>
      </c>
      <c r="B539">
        <v>16</v>
      </c>
      <c r="C539" t="s">
        <v>304</v>
      </c>
      <c r="D539" t="s">
        <v>105</v>
      </c>
      <c r="E539" s="4">
        <f>VLOOKUP($A539,releases,2,FALSE)</f>
        <v>11</v>
      </c>
      <c r="F539" s="4" t="str">
        <f>VLOOKUP($A539,releases,3,FALSE)</f>
        <v>UK</v>
      </c>
      <c r="G539" s="4" t="str">
        <f>VLOOKUP($A539,releases,8,FALSE)</f>
        <v>Stereo</v>
      </c>
      <c r="H539" s="4" t="str">
        <f>VLOOKUP($A539,releases,4,FALSE)</f>
        <v>Abbey Road</v>
      </c>
    </row>
    <row r="540" spans="1:8" x14ac:dyDescent="0.25">
      <c r="A540" t="s">
        <v>65</v>
      </c>
      <c r="B540">
        <v>17</v>
      </c>
      <c r="C540" t="s">
        <v>305</v>
      </c>
      <c r="D540" t="s">
        <v>105</v>
      </c>
      <c r="E540" s="4">
        <f>VLOOKUP($A540,releases,2,FALSE)</f>
        <v>11</v>
      </c>
      <c r="F540" s="4" t="str">
        <f>VLOOKUP($A540,releases,3,FALSE)</f>
        <v>UK</v>
      </c>
      <c r="G540" s="4" t="str">
        <f>VLOOKUP($A540,releases,8,FALSE)</f>
        <v>Stereo</v>
      </c>
      <c r="H540" s="4" t="str">
        <f>VLOOKUP($A540,releases,4,FALSE)</f>
        <v>Abbey Road</v>
      </c>
    </row>
    <row r="541" spans="1:8" x14ac:dyDescent="0.25">
      <c r="A541" t="s">
        <v>67</v>
      </c>
      <c r="B541">
        <v>1</v>
      </c>
      <c r="C541" t="s">
        <v>289</v>
      </c>
      <c r="D541" t="s">
        <v>105</v>
      </c>
      <c r="E541" s="4">
        <f>VLOOKUP($A541,releases,2,FALSE)</f>
        <v>11</v>
      </c>
      <c r="F541" s="4" t="str">
        <f>VLOOKUP($A541,releases,3,FALSE)</f>
        <v>US</v>
      </c>
      <c r="G541" s="4" t="str">
        <f>VLOOKUP($A541,releases,8,FALSE)</f>
        <v>Stereo</v>
      </c>
      <c r="H541" s="4" t="str">
        <f>VLOOKUP($A541,releases,4,FALSE)</f>
        <v>Abbey Road</v>
      </c>
    </row>
    <row r="542" spans="1:8" x14ac:dyDescent="0.25">
      <c r="A542" t="s">
        <v>67</v>
      </c>
      <c r="B542">
        <v>2</v>
      </c>
      <c r="C542" t="s">
        <v>290</v>
      </c>
      <c r="D542" t="s">
        <v>110</v>
      </c>
      <c r="E542" s="4">
        <f>VLOOKUP($A542,releases,2,FALSE)</f>
        <v>11</v>
      </c>
      <c r="F542" s="4" t="str">
        <f>VLOOKUP($A542,releases,3,FALSE)</f>
        <v>US</v>
      </c>
      <c r="G542" s="4" t="str">
        <f>VLOOKUP($A542,releases,8,FALSE)</f>
        <v>Stereo</v>
      </c>
      <c r="H542" s="4" t="str">
        <f>VLOOKUP($A542,releases,4,FALSE)</f>
        <v>Abbey Road</v>
      </c>
    </row>
    <row r="543" spans="1:8" x14ac:dyDescent="0.25">
      <c r="A543" t="s">
        <v>67</v>
      </c>
      <c r="B543">
        <v>3</v>
      </c>
      <c r="C543" t="s">
        <v>291</v>
      </c>
      <c r="D543" t="s">
        <v>105</v>
      </c>
      <c r="E543" s="4">
        <f>VLOOKUP($A543,releases,2,FALSE)</f>
        <v>11</v>
      </c>
      <c r="F543" s="4" t="str">
        <f>VLOOKUP($A543,releases,3,FALSE)</f>
        <v>US</v>
      </c>
      <c r="G543" s="4" t="str">
        <f>VLOOKUP($A543,releases,8,FALSE)</f>
        <v>Stereo</v>
      </c>
      <c r="H543" s="4" t="str">
        <f>VLOOKUP($A543,releases,4,FALSE)</f>
        <v>Abbey Road</v>
      </c>
    </row>
    <row r="544" spans="1:8" x14ac:dyDescent="0.25">
      <c r="A544" t="s">
        <v>67</v>
      </c>
      <c r="B544">
        <v>4</v>
      </c>
      <c r="C544" t="s">
        <v>292</v>
      </c>
      <c r="D544" t="s">
        <v>105</v>
      </c>
      <c r="E544" s="4">
        <f>VLOOKUP($A544,releases,2,FALSE)</f>
        <v>11</v>
      </c>
      <c r="F544" s="4" t="str">
        <f>VLOOKUP($A544,releases,3,FALSE)</f>
        <v>US</v>
      </c>
      <c r="G544" s="4" t="str">
        <f>VLOOKUP($A544,releases,8,FALSE)</f>
        <v>Stereo</v>
      </c>
      <c r="H544" s="4" t="str">
        <f>VLOOKUP($A544,releases,4,FALSE)</f>
        <v>Abbey Road</v>
      </c>
    </row>
    <row r="545" spans="1:8" x14ac:dyDescent="0.25">
      <c r="A545" t="s">
        <v>67</v>
      </c>
      <c r="B545">
        <v>5</v>
      </c>
      <c r="C545" t="s">
        <v>293</v>
      </c>
      <c r="D545" t="s">
        <v>260</v>
      </c>
      <c r="E545" s="4">
        <f>VLOOKUP($A545,releases,2,FALSE)</f>
        <v>11</v>
      </c>
      <c r="F545" s="4" t="str">
        <f>VLOOKUP($A545,releases,3,FALSE)</f>
        <v>US</v>
      </c>
      <c r="G545" s="4" t="str">
        <f>VLOOKUP($A545,releases,8,FALSE)</f>
        <v>Stereo</v>
      </c>
      <c r="H545" s="4" t="str">
        <f>VLOOKUP($A545,releases,4,FALSE)</f>
        <v>Abbey Road</v>
      </c>
    </row>
    <row r="546" spans="1:8" x14ac:dyDescent="0.25">
      <c r="A546" t="s">
        <v>67</v>
      </c>
      <c r="B546">
        <v>6</v>
      </c>
      <c r="C546" t="s">
        <v>294</v>
      </c>
      <c r="D546" t="s">
        <v>105</v>
      </c>
      <c r="E546" s="4">
        <f>VLOOKUP($A546,releases,2,FALSE)</f>
        <v>11</v>
      </c>
      <c r="F546" s="4" t="str">
        <f>VLOOKUP($A546,releases,3,FALSE)</f>
        <v>US</v>
      </c>
      <c r="G546" s="4" t="str">
        <f>VLOOKUP($A546,releases,8,FALSE)</f>
        <v>Stereo</v>
      </c>
      <c r="H546" s="4" t="str">
        <f>VLOOKUP($A546,releases,4,FALSE)</f>
        <v>Abbey Road</v>
      </c>
    </row>
    <row r="547" spans="1:8" x14ac:dyDescent="0.25">
      <c r="A547" t="s">
        <v>67</v>
      </c>
      <c r="B547">
        <v>7</v>
      </c>
      <c r="C547" t="s">
        <v>295</v>
      </c>
      <c r="D547" t="s">
        <v>110</v>
      </c>
      <c r="E547" s="4">
        <f>VLOOKUP($A547,releases,2,FALSE)</f>
        <v>11</v>
      </c>
      <c r="F547" s="4" t="str">
        <f>VLOOKUP($A547,releases,3,FALSE)</f>
        <v>US</v>
      </c>
      <c r="G547" s="4" t="str">
        <f>VLOOKUP($A547,releases,8,FALSE)</f>
        <v>Stereo</v>
      </c>
      <c r="H547" s="4" t="str">
        <f>VLOOKUP($A547,releases,4,FALSE)</f>
        <v>Abbey Road</v>
      </c>
    </row>
    <row r="548" spans="1:8" x14ac:dyDescent="0.25">
      <c r="A548" t="s">
        <v>67</v>
      </c>
      <c r="B548">
        <v>8</v>
      </c>
      <c r="C548" t="s">
        <v>296</v>
      </c>
      <c r="D548" t="s">
        <v>105</v>
      </c>
      <c r="E548" s="4">
        <f>VLOOKUP($A548,releases,2,FALSE)</f>
        <v>11</v>
      </c>
      <c r="F548" s="4" t="str">
        <f>VLOOKUP($A548,releases,3,FALSE)</f>
        <v>US</v>
      </c>
      <c r="G548" s="4" t="str">
        <f>VLOOKUP($A548,releases,8,FALSE)</f>
        <v>Stereo</v>
      </c>
      <c r="H548" s="4" t="str">
        <f>VLOOKUP($A548,releases,4,FALSE)</f>
        <v>Abbey Road</v>
      </c>
    </row>
    <row r="549" spans="1:8" x14ac:dyDescent="0.25">
      <c r="A549" t="s">
        <v>67</v>
      </c>
      <c r="B549">
        <v>9</v>
      </c>
      <c r="C549" t="s">
        <v>297</v>
      </c>
      <c r="D549" t="s">
        <v>105</v>
      </c>
      <c r="E549" s="4">
        <f>VLOOKUP($A549,releases,2,FALSE)</f>
        <v>11</v>
      </c>
      <c r="F549" s="4" t="str">
        <f>VLOOKUP($A549,releases,3,FALSE)</f>
        <v>US</v>
      </c>
      <c r="G549" s="4" t="str">
        <f>VLOOKUP($A549,releases,8,FALSE)</f>
        <v>Stereo</v>
      </c>
      <c r="H549" s="4" t="str">
        <f>VLOOKUP($A549,releases,4,FALSE)</f>
        <v>Abbey Road</v>
      </c>
    </row>
    <row r="550" spans="1:8" x14ac:dyDescent="0.25">
      <c r="A550" t="s">
        <v>67</v>
      </c>
      <c r="B550">
        <v>10</v>
      </c>
      <c r="C550" t="s">
        <v>298</v>
      </c>
      <c r="D550" t="s">
        <v>105</v>
      </c>
      <c r="E550" s="4">
        <f>VLOOKUP($A550,releases,2,FALSE)</f>
        <v>11</v>
      </c>
      <c r="F550" s="4" t="str">
        <f>VLOOKUP($A550,releases,3,FALSE)</f>
        <v>US</v>
      </c>
      <c r="G550" s="4" t="str">
        <f>VLOOKUP($A550,releases,8,FALSE)</f>
        <v>Stereo</v>
      </c>
      <c r="H550" s="4" t="str">
        <f>VLOOKUP($A550,releases,4,FALSE)</f>
        <v>Abbey Road</v>
      </c>
    </row>
    <row r="551" spans="1:8" x14ac:dyDescent="0.25">
      <c r="A551" t="s">
        <v>67</v>
      </c>
      <c r="B551">
        <v>11</v>
      </c>
      <c r="C551" t="s">
        <v>299</v>
      </c>
      <c r="D551" t="s">
        <v>105</v>
      </c>
      <c r="E551" s="4">
        <f>VLOOKUP($A551,releases,2,FALSE)</f>
        <v>11</v>
      </c>
      <c r="F551" s="4" t="str">
        <f>VLOOKUP($A551,releases,3,FALSE)</f>
        <v>US</v>
      </c>
      <c r="G551" s="4" t="str">
        <f>VLOOKUP($A551,releases,8,FALSE)</f>
        <v>Stereo</v>
      </c>
      <c r="H551" s="4" t="str">
        <f>VLOOKUP($A551,releases,4,FALSE)</f>
        <v>Abbey Road</v>
      </c>
    </row>
    <row r="552" spans="1:8" x14ac:dyDescent="0.25">
      <c r="A552" t="s">
        <v>67</v>
      </c>
      <c r="B552">
        <v>12</v>
      </c>
      <c r="C552" t="s">
        <v>300</v>
      </c>
      <c r="D552" t="s">
        <v>105</v>
      </c>
      <c r="E552" s="4">
        <f>VLOOKUP($A552,releases,2,FALSE)</f>
        <v>11</v>
      </c>
      <c r="F552" s="4" t="str">
        <f>VLOOKUP($A552,releases,3,FALSE)</f>
        <v>US</v>
      </c>
      <c r="G552" s="4" t="str">
        <f>VLOOKUP($A552,releases,8,FALSE)</f>
        <v>Stereo</v>
      </c>
      <c r="H552" s="4" t="str">
        <f>VLOOKUP($A552,releases,4,FALSE)</f>
        <v>Abbey Road</v>
      </c>
    </row>
    <row r="553" spans="1:8" x14ac:dyDescent="0.25">
      <c r="A553" t="s">
        <v>67</v>
      </c>
      <c r="B553">
        <v>13</v>
      </c>
      <c r="C553" t="s">
        <v>301</v>
      </c>
      <c r="D553" t="s">
        <v>105</v>
      </c>
      <c r="E553" s="4">
        <f>VLOOKUP($A553,releases,2,FALSE)</f>
        <v>11</v>
      </c>
      <c r="F553" s="4" t="str">
        <f>VLOOKUP($A553,releases,3,FALSE)</f>
        <v>US</v>
      </c>
      <c r="G553" s="4" t="str">
        <f>VLOOKUP($A553,releases,8,FALSE)</f>
        <v>Stereo</v>
      </c>
      <c r="H553" s="4" t="str">
        <f>VLOOKUP($A553,releases,4,FALSE)</f>
        <v>Abbey Road</v>
      </c>
    </row>
    <row r="554" spans="1:8" x14ac:dyDescent="0.25">
      <c r="A554" t="s">
        <v>67</v>
      </c>
      <c r="B554">
        <v>14</v>
      </c>
      <c r="C554" t="s">
        <v>302</v>
      </c>
      <c r="D554" t="s">
        <v>105</v>
      </c>
      <c r="E554" s="4">
        <f>VLOOKUP($A554,releases,2,FALSE)</f>
        <v>11</v>
      </c>
      <c r="F554" s="4" t="str">
        <f>VLOOKUP($A554,releases,3,FALSE)</f>
        <v>US</v>
      </c>
      <c r="G554" s="4" t="str">
        <f>VLOOKUP($A554,releases,8,FALSE)</f>
        <v>Stereo</v>
      </c>
      <c r="H554" s="4" t="str">
        <f>VLOOKUP($A554,releases,4,FALSE)</f>
        <v>Abbey Road</v>
      </c>
    </row>
    <row r="555" spans="1:8" x14ac:dyDescent="0.25">
      <c r="A555" t="s">
        <v>67</v>
      </c>
      <c r="B555">
        <v>15</v>
      </c>
      <c r="C555" t="s">
        <v>303</v>
      </c>
      <c r="D555" t="s">
        <v>105</v>
      </c>
      <c r="E555" s="4">
        <f>VLOOKUP($A555,releases,2,FALSE)</f>
        <v>11</v>
      </c>
      <c r="F555" s="4" t="str">
        <f>VLOOKUP($A555,releases,3,FALSE)</f>
        <v>US</v>
      </c>
      <c r="G555" s="4" t="str">
        <f>VLOOKUP($A555,releases,8,FALSE)</f>
        <v>Stereo</v>
      </c>
      <c r="H555" s="4" t="str">
        <f>VLOOKUP($A555,releases,4,FALSE)</f>
        <v>Abbey Road</v>
      </c>
    </row>
    <row r="556" spans="1:8" x14ac:dyDescent="0.25">
      <c r="A556" t="s">
        <v>67</v>
      </c>
      <c r="B556">
        <v>16</v>
      </c>
      <c r="C556" t="s">
        <v>304</v>
      </c>
      <c r="D556" t="s">
        <v>105</v>
      </c>
      <c r="E556" s="4">
        <f>VLOOKUP($A556,releases,2,FALSE)</f>
        <v>11</v>
      </c>
      <c r="F556" s="4" t="str">
        <f>VLOOKUP($A556,releases,3,FALSE)</f>
        <v>US</v>
      </c>
      <c r="G556" s="4" t="str">
        <f>VLOOKUP($A556,releases,8,FALSE)</f>
        <v>Stereo</v>
      </c>
      <c r="H556" s="4" t="str">
        <f>VLOOKUP($A556,releases,4,FALSE)</f>
        <v>Abbey Road</v>
      </c>
    </row>
    <row r="557" spans="1:8" x14ac:dyDescent="0.25">
      <c r="A557" t="s">
        <v>67</v>
      </c>
      <c r="B557">
        <v>17</v>
      </c>
      <c r="C557" t="s">
        <v>305</v>
      </c>
      <c r="D557" t="s">
        <v>105</v>
      </c>
      <c r="E557" s="4">
        <f>VLOOKUP($A557,releases,2,FALSE)</f>
        <v>11</v>
      </c>
      <c r="F557" s="4" t="str">
        <f>VLOOKUP($A557,releases,3,FALSE)</f>
        <v>US</v>
      </c>
      <c r="G557" s="4" t="str">
        <f>VLOOKUP($A557,releases,8,FALSE)</f>
        <v>Stereo</v>
      </c>
      <c r="H557" s="4" t="str">
        <f>VLOOKUP($A557,releases,4,FALSE)</f>
        <v>Abbey Road</v>
      </c>
    </row>
    <row r="558" spans="1:8" x14ac:dyDescent="0.25">
      <c r="A558" t="s">
        <v>70</v>
      </c>
      <c r="B558">
        <v>1</v>
      </c>
      <c r="C558" t="s">
        <v>306</v>
      </c>
      <c r="D558" t="s">
        <v>105</v>
      </c>
      <c r="E558" s="4">
        <f>VLOOKUP($A558,releases,2,FALSE)</f>
        <v>12</v>
      </c>
      <c r="F558" s="4" t="str">
        <f>VLOOKUP($A558,releases,3,FALSE)</f>
        <v>US</v>
      </c>
      <c r="G558" s="4" t="str">
        <f>VLOOKUP($A558,releases,8,FALSE)</f>
        <v>Stereo</v>
      </c>
      <c r="H558" s="4" t="str">
        <f>VLOOKUP($A558,releases,4,FALSE)</f>
        <v>Let It Be</v>
      </c>
    </row>
    <row r="559" spans="1:8" x14ac:dyDescent="0.25">
      <c r="A559" t="s">
        <v>70</v>
      </c>
      <c r="B559">
        <v>2</v>
      </c>
      <c r="C559" t="s">
        <v>307</v>
      </c>
      <c r="D559" t="s">
        <v>105</v>
      </c>
      <c r="E559" s="4">
        <f>VLOOKUP($A559,releases,2,FALSE)</f>
        <v>12</v>
      </c>
      <c r="F559" s="4" t="str">
        <f>VLOOKUP($A559,releases,3,FALSE)</f>
        <v>US</v>
      </c>
      <c r="G559" s="4" t="str">
        <f>VLOOKUP($A559,releases,8,FALSE)</f>
        <v>Stereo</v>
      </c>
      <c r="H559" s="4" t="str">
        <f>VLOOKUP($A559,releases,4,FALSE)</f>
        <v>Let It Be</v>
      </c>
    </row>
    <row r="560" spans="1:8" x14ac:dyDescent="0.25">
      <c r="A560" t="s">
        <v>70</v>
      </c>
      <c r="B560">
        <v>3</v>
      </c>
      <c r="C560" t="s">
        <v>308</v>
      </c>
      <c r="D560" t="s">
        <v>105</v>
      </c>
      <c r="E560" s="4">
        <f>VLOOKUP($A560,releases,2,FALSE)</f>
        <v>12</v>
      </c>
      <c r="F560" s="4" t="str">
        <f>VLOOKUP($A560,releases,3,FALSE)</f>
        <v>US</v>
      </c>
      <c r="G560" s="4" t="str">
        <f>VLOOKUP($A560,releases,8,FALSE)</f>
        <v>Stereo</v>
      </c>
      <c r="H560" s="4" t="str">
        <f>VLOOKUP($A560,releases,4,FALSE)</f>
        <v>Let It Be</v>
      </c>
    </row>
    <row r="561" spans="1:8" x14ac:dyDescent="0.25">
      <c r="A561" t="s">
        <v>70</v>
      </c>
      <c r="B561">
        <v>4</v>
      </c>
      <c r="C561" t="s">
        <v>309</v>
      </c>
      <c r="D561" t="s">
        <v>110</v>
      </c>
      <c r="E561" s="4">
        <f>VLOOKUP($A561,releases,2,FALSE)</f>
        <v>12</v>
      </c>
      <c r="F561" s="4" t="str">
        <f>VLOOKUP($A561,releases,3,FALSE)</f>
        <v>US</v>
      </c>
      <c r="G561" s="4" t="str">
        <f>VLOOKUP($A561,releases,8,FALSE)</f>
        <v>Stereo</v>
      </c>
      <c r="H561" s="4" t="str">
        <f>VLOOKUP($A561,releases,4,FALSE)</f>
        <v>Let It Be</v>
      </c>
    </row>
    <row r="562" spans="1:8" x14ac:dyDescent="0.25">
      <c r="A562" t="s">
        <v>70</v>
      </c>
      <c r="B562">
        <v>5</v>
      </c>
      <c r="C562" t="s">
        <v>310</v>
      </c>
      <c r="D562" t="s">
        <v>311</v>
      </c>
      <c r="E562" s="4">
        <f>VLOOKUP($A562,releases,2,FALSE)</f>
        <v>12</v>
      </c>
      <c r="F562" s="4" t="str">
        <f>VLOOKUP($A562,releases,3,FALSE)</f>
        <v>US</v>
      </c>
      <c r="G562" s="4" t="str">
        <f>VLOOKUP($A562,releases,8,FALSE)</f>
        <v>Stereo</v>
      </c>
      <c r="H562" s="4" t="str">
        <f>VLOOKUP($A562,releases,4,FALSE)</f>
        <v>Let It Be</v>
      </c>
    </row>
    <row r="563" spans="1:8" x14ac:dyDescent="0.25">
      <c r="A563" t="s">
        <v>70</v>
      </c>
      <c r="B563">
        <v>6</v>
      </c>
      <c r="C563" t="s">
        <v>69</v>
      </c>
      <c r="D563" t="s">
        <v>105</v>
      </c>
      <c r="E563" s="4">
        <f>VLOOKUP($A563,releases,2,FALSE)</f>
        <v>12</v>
      </c>
      <c r="F563" s="4" t="str">
        <f>VLOOKUP($A563,releases,3,FALSE)</f>
        <v>US</v>
      </c>
      <c r="G563" s="4" t="str">
        <f>VLOOKUP($A563,releases,8,FALSE)</f>
        <v>Stereo</v>
      </c>
      <c r="H563" s="4" t="str">
        <f>VLOOKUP($A563,releases,4,FALSE)</f>
        <v>Let It Be</v>
      </c>
    </row>
    <row r="564" spans="1:8" x14ac:dyDescent="0.25">
      <c r="A564" t="s">
        <v>70</v>
      </c>
      <c r="B564">
        <v>7</v>
      </c>
      <c r="C564" t="s">
        <v>312</v>
      </c>
      <c r="D564" t="s">
        <v>313</v>
      </c>
      <c r="E564" s="4">
        <f>VLOOKUP($A564,releases,2,FALSE)</f>
        <v>12</v>
      </c>
      <c r="F564" s="4" t="str">
        <f>VLOOKUP($A564,releases,3,FALSE)</f>
        <v>US</v>
      </c>
      <c r="G564" s="4" t="str">
        <f>VLOOKUP($A564,releases,8,FALSE)</f>
        <v>Stereo</v>
      </c>
      <c r="H564" s="4" t="str">
        <f>VLOOKUP($A564,releases,4,FALSE)</f>
        <v>Let It Be</v>
      </c>
    </row>
    <row r="565" spans="1:8" x14ac:dyDescent="0.25">
      <c r="A565" t="s">
        <v>70</v>
      </c>
      <c r="B565">
        <v>8</v>
      </c>
      <c r="C565" t="s">
        <v>314</v>
      </c>
      <c r="D565" t="s">
        <v>105</v>
      </c>
      <c r="E565" s="4">
        <f>VLOOKUP($A565,releases,2,FALSE)</f>
        <v>12</v>
      </c>
      <c r="F565" s="4" t="str">
        <f>VLOOKUP($A565,releases,3,FALSE)</f>
        <v>US</v>
      </c>
      <c r="G565" s="4" t="str">
        <f>VLOOKUP($A565,releases,8,FALSE)</f>
        <v>Stereo</v>
      </c>
      <c r="H565" s="4" t="str">
        <f>VLOOKUP($A565,releases,4,FALSE)</f>
        <v>Let It Be</v>
      </c>
    </row>
    <row r="566" spans="1:8" x14ac:dyDescent="0.25">
      <c r="A566" t="s">
        <v>70</v>
      </c>
      <c r="B566">
        <v>9</v>
      </c>
      <c r="C566" t="s">
        <v>315</v>
      </c>
      <c r="D566" t="s">
        <v>105</v>
      </c>
      <c r="E566" s="4">
        <f>VLOOKUP($A566,releases,2,FALSE)</f>
        <v>12</v>
      </c>
      <c r="F566" s="4" t="str">
        <f>VLOOKUP($A566,releases,3,FALSE)</f>
        <v>US</v>
      </c>
      <c r="G566" s="4" t="str">
        <f>VLOOKUP($A566,releases,8,FALSE)</f>
        <v>Stereo</v>
      </c>
      <c r="H566" s="4" t="str">
        <f>VLOOKUP($A566,releases,4,FALSE)</f>
        <v>Let It Be</v>
      </c>
    </row>
    <row r="567" spans="1:8" x14ac:dyDescent="0.25">
      <c r="A567" t="s">
        <v>70</v>
      </c>
      <c r="B567">
        <v>10</v>
      </c>
      <c r="C567" t="s">
        <v>316</v>
      </c>
      <c r="D567" t="s">
        <v>105</v>
      </c>
      <c r="E567" s="4">
        <f>VLOOKUP($A567,releases,2,FALSE)</f>
        <v>12</v>
      </c>
      <c r="F567" s="4" t="str">
        <f>VLOOKUP($A567,releases,3,FALSE)</f>
        <v>US</v>
      </c>
      <c r="G567" s="4" t="str">
        <f>VLOOKUP($A567,releases,8,FALSE)</f>
        <v>Stereo</v>
      </c>
      <c r="H567" s="4" t="str">
        <f>VLOOKUP($A567,releases,4,FALSE)</f>
        <v>Let It Be</v>
      </c>
    </row>
    <row r="568" spans="1:8" x14ac:dyDescent="0.25">
      <c r="A568" t="s">
        <v>70</v>
      </c>
      <c r="B568">
        <v>11</v>
      </c>
      <c r="C568" t="s">
        <v>317</v>
      </c>
      <c r="D568" t="s">
        <v>110</v>
      </c>
      <c r="E568" s="4">
        <f>VLOOKUP($A568,releases,2,FALSE)</f>
        <v>12</v>
      </c>
      <c r="F568" s="4" t="str">
        <f>VLOOKUP($A568,releases,3,FALSE)</f>
        <v>US</v>
      </c>
      <c r="G568" s="4" t="str">
        <f>VLOOKUP($A568,releases,8,FALSE)</f>
        <v>Stereo</v>
      </c>
      <c r="H568" s="4" t="str">
        <f>VLOOKUP($A568,releases,4,FALSE)</f>
        <v>Let It Be</v>
      </c>
    </row>
    <row r="569" spans="1:8" x14ac:dyDescent="0.25">
      <c r="A569" t="s">
        <v>70</v>
      </c>
      <c r="B569">
        <v>12</v>
      </c>
      <c r="C569" t="s">
        <v>318</v>
      </c>
      <c r="D569" t="s">
        <v>105</v>
      </c>
      <c r="E569" s="4">
        <f>VLOOKUP($A569,releases,2,FALSE)</f>
        <v>12</v>
      </c>
      <c r="F569" s="4" t="str">
        <f>VLOOKUP($A569,releases,3,FALSE)</f>
        <v>US</v>
      </c>
      <c r="G569" s="4" t="str">
        <f>VLOOKUP($A569,releases,8,FALSE)</f>
        <v>Stereo</v>
      </c>
      <c r="H569" s="4" t="str">
        <f>VLOOKUP($A569,releases,4,FALSE)</f>
        <v>Let It Be</v>
      </c>
    </row>
    <row r="570" spans="1:8" x14ac:dyDescent="0.25">
      <c r="A570" t="s">
        <v>68</v>
      </c>
      <c r="B570">
        <v>1</v>
      </c>
      <c r="C570" t="s">
        <v>306</v>
      </c>
      <c r="D570" t="s">
        <v>105</v>
      </c>
      <c r="E570" s="4">
        <f>VLOOKUP($A570,releases,2,FALSE)</f>
        <v>12</v>
      </c>
      <c r="F570" s="4" t="str">
        <f>VLOOKUP($A570,releases,3,FALSE)</f>
        <v>UK</v>
      </c>
      <c r="G570" s="4" t="str">
        <f>VLOOKUP($A570,releases,8,FALSE)</f>
        <v>Stereo</v>
      </c>
      <c r="H570" s="4" t="str">
        <f>VLOOKUP($A570,releases,4,FALSE)</f>
        <v>Let It Be</v>
      </c>
    </row>
    <row r="571" spans="1:8" x14ac:dyDescent="0.25">
      <c r="A571" t="s">
        <v>68</v>
      </c>
      <c r="B571">
        <v>2</v>
      </c>
      <c r="C571" t="s">
        <v>307</v>
      </c>
      <c r="D571" t="s">
        <v>105</v>
      </c>
      <c r="E571" s="4">
        <f>VLOOKUP($A571,releases,2,FALSE)</f>
        <v>12</v>
      </c>
      <c r="F571" s="4" t="str">
        <f>VLOOKUP($A571,releases,3,FALSE)</f>
        <v>UK</v>
      </c>
      <c r="G571" s="4" t="str">
        <f>VLOOKUP($A571,releases,8,FALSE)</f>
        <v>Stereo</v>
      </c>
      <c r="H571" s="4" t="str">
        <f>VLOOKUP($A571,releases,4,FALSE)</f>
        <v>Let It Be</v>
      </c>
    </row>
    <row r="572" spans="1:8" x14ac:dyDescent="0.25">
      <c r="A572" t="s">
        <v>68</v>
      </c>
      <c r="B572">
        <v>3</v>
      </c>
      <c r="C572" t="s">
        <v>308</v>
      </c>
      <c r="D572" t="s">
        <v>105</v>
      </c>
      <c r="E572" s="4">
        <f>VLOOKUP($A572,releases,2,FALSE)</f>
        <v>12</v>
      </c>
      <c r="F572" s="4" t="str">
        <f>VLOOKUP($A572,releases,3,FALSE)</f>
        <v>UK</v>
      </c>
      <c r="G572" s="4" t="str">
        <f>VLOOKUP($A572,releases,8,FALSE)</f>
        <v>Stereo</v>
      </c>
      <c r="H572" s="4" t="str">
        <f>VLOOKUP($A572,releases,4,FALSE)</f>
        <v>Let It Be</v>
      </c>
    </row>
    <row r="573" spans="1:8" x14ac:dyDescent="0.25">
      <c r="A573" t="s">
        <v>68</v>
      </c>
      <c r="B573">
        <v>4</v>
      </c>
      <c r="C573" t="s">
        <v>309</v>
      </c>
      <c r="D573" t="s">
        <v>110</v>
      </c>
      <c r="E573" s="4">
        <f>VLOOKUP($A573,releases,2,FALSE)</f>
        <v>12</v>
      </c>
      <c r="F573" s="4" t="str">
        <f>VLOOKUP($A573,releases,3,FALSE)</f>
        <v>UK</v>
      </c>
      <c r="G573" s="4" t="str">
        <f>VLOOKUP($A573,releases,8,FALSE)</f>
        <v>Stereo</v>
      </c>
      <c r="H573" s="4" t="str">
        <f>VLOOKUP($A573,releases,4,FALSE)</f>
        <v>Let It Be</v>
      </c>
    </row>
    <row r="574" spans="1:8" x14ac:dyDescent="0.25">
      <c r="A574" t="s">
        <v>68</v>
      </c>
      <c r="B574">
        <v>5</v>
      </c>
      <c r="C574" t="s">
        <v>310</v>
      </c>
      <c r="D574" t="s">
        <v>311</v>
      </c>
      <c r="E574" s="4">
        <f>VLOOKUP($A574,releases,2,FALSE)</f>
        <v>12</v>
      </c>
      <c r="F574" s="4" t="str">
        <f>VLOOKUP($A574,releases,3,FALSE)</f>
        <v>UK</v>
      </c>
      <c r="G574" s="4" t="str">
        <f>VLOOKUP($A574,releases,8,FALSE)</f>
        <v>Stereo</v>
      </c>
      <c r="H574" s="4" t="str">
        <f>VLOOKUP($A574,releases,4,FALSE)</f>
        <v>Let It Be</v>
      </c>
    </row>
    <row r="575" spans="1:8" x14ac:dyDescent="0.25">
      <c r="A575" t="s">
        <v>68</v>
      </c>
      <c r="B575">
        <v>6</v>
      </c>
      <c r="C575" t="s">
        <v>69</v>
      </c>
      <c r="D575" t="s">
        <v>105</v>
      </c>
      <c r="E575" s="4">
        <f>VLOOKUP($A575,releases,2,FALSE)</f>
        <v>12</v>
      </c>
      <c r="F575" s="4" t="str">
        <f>VLOOKUP($A575,releases,3,FALSE)</f>
        <v>UK</v>
      </c>
      <c r="G575" s="4" t="str">
        <f>VLOOKUP($A575,releases,8,FALSE)</f>
        <v>Stereo</v>
      </c>
      <c r="H575" s="4" t="str">
        <f>VLOOKUP($A575,releases,4,FALSE)</f>
        <v>Let It Be</v>
      </c>
    </row>
    <row r="576" spans="1:8" x14ac:dyDescent="0.25">
      <c r="A576" t="s">
        <v>68</v>
      </c>
      <c r="B576">
        <v>7</v>
      </c>
      <c r="C576" t="s">
        <v>312</v>
      </c>
      <c r="D576" t="s">
        <v>313</v>
      </c>
      <c r="E576" s="4">
        <f>VLOOKUP($A576,releases,2,FALSE)</f>
        <v>12</v>
      </c>
      <c r="F576" s="4" t="str">
        <f>VLOOKUP($A576,releases,3,FALSE)</f>
        <v>UK</v>
      </c>
      <c r="G576" s="4" t="str">
        <f>VLOOKUP($A576,releases,8,FALSE)</f>
        <v>Stereo</v>
      </c>
      <c r="H576" s="4" t="str">
        <f>VLOOKUP($A576,releases,4,FALSE)</f>
        <v>Let It Be</v>
      </c>
    </row>
    <row r="577" spans="1:8" x14ac:dyDescent="0.25">
      <c r="A577" t="s">
        <v>68</v>
      </c>
      <c r="B577">
        <v>8</v>
      </c>
      <c r="C577" t="s">
        <v>314</v>
      </c>
      <c r="D577" t="s">
        <v>105</v>
      </c>
      <c r="E577" s="4">
        <f>VLOOKUP($A577,releases,2,FALSE)</f>
        <v>12</v>
      </c>
      <c r="F577" s="4" t="str">
        <f>VLOOKUP($A577,releases,3,FALSE)</f>
        <v>UK</v>
      </c>
      <c r="G577" s="4" t="str">
        <f>VLOOKUP($A577,releases,8,FALSE)</f>
        <v>Stereo</v>
      </c>
      <c r="H577" s="4" t="str">
        <f>VLOOKUP($A577,releases,4,FALSE)</f>
        <v>Let It Be</v>
      </c>
    </row>
    <row r="578" spans="1:8" x14ac:dyDescent="0.25">
      <c r="A578" t="s">
        <v>68</v>
      </c>
      <c r="B578">
        <v>9</v>
      </c>
      <c r="C578" t="s">
        <v>315</v>
      </c>
      <c r="D578" t="s">
        <v>105</v>
      </c>
      <c r="E578" s="4">
        <f>VLOOKUP($A578,releases,2,FALSE)</f>
        <v>12</v>
      </c>
      <c r="F578" s="4" t="str">
        <f>VLOOKUP($A578,releases,3,FALSE)</f>
        <v>UK</v>
      </c>
      <c r="G578" s="4" t="str">
        <f>VLOOKUP($A578,releases,8,FALSE)</f>
        <v>Stereo</v>
      </c>
      <c r="H578" s="4" t="str">
        <f>VLOOKUP($A578,releases,4,FALSE)</f>
        <v>Let It Be</v>
      </c>
    </row>
    <row r="579" spans="1:8" x14ac:dyDescent="0.25">
      <c r="A579" t="s">
        <v>68</v>
      </c>
      <c r="B579">
        <v>10</v>
      </c>
      <c r="C579" t="s">
        <v>316</v>
      </c>
      <c r="D579" t="s">
        <v>105</v>
      </c>
      <c r="E579" s="4">
        <f>VLOOKUP($A579,releases,2,FALSE)</f>
        <v>12</v>
      </c>
      <c r="F579" s="4" t="str">
        <f>VLOOKUP($A579,releases,3,FALSE)</f>
        <v>UK</v>
      </c>
      <c r="G579" s="4" t="str">
        <f>VLOOKUP($A579,releases,8,FALSE)</f>
        <v>Stereo</v>
      </c>
      <c r="H579" s="4" t="str">
        <f>VLOOKUP($A579,releases,4,FALSE)</f>
        <v>Let It Be</v>
      </c>
    </row>
    <row r="580" spans="1:8" x14ac:dyDescent="0.25">
      <c r="A580" t="s">
        <v>68</v>
      </c>
      <c r="B580">
        <v>11</v>
      </c>
      <c r="C580" t="s">
        <v>317</v>
      </c>
      <c r="D580" t="s">
        <v>110</v>
      </c>
      <c r="E580" s="4">
        <f>VLOOKUP($A580,releases,2,FALSE)</f>
        <v>12</v>
      </c>
      <c r="F580" s="4" t="str">
        <f>VLOOKUP($A580,releases,3,FALSE)</f>
        <v>UK</v>
      </c>
      <c r="G580" s="4" t="str">
        <f>VLOOKUP($A580,releases,8,FALSE)</f>
        <v>Stereo</v>
      </c>
      <c r="H580" s="4" t="str">
        <f>VLOOKUP($A580,releases,4,FALSE)</f>
        <v>Let It Be</v>
      </c>
    </row>
    <row r="581" spans="1:8" x14ac:dyDescent="0.25">
      <c r="A581" t="s">
        <v>68</v>
      </c>
      <c r="B581">
        <v>12</v>
      </c>
      <c r="C581" t="s">
        <v>318</v>
      </c>
      <c r="D581" t="s">
        <v>105</v>
      </c>
      <c r="E581" s="4">
        <f>VLOOKUP($A581,releases,2,FALSE)</f>
        <v>12</v>
      </c>
      <c r="F581" s="4" t="str">
        <f>VLOOKUP($A581,releases,3,FALSE)</f>
        <v>UK</v>
      </c>
      <c r="G581" s="4" t="str">
        <f>VLOOKUP($A581,releases,8,FALSE)</f>
        <v>Stereo</v>
      </c>
      <c r="H581" s="4" t="str">
        <f>VLOOKUP($A581,releases,4,FALSE)</f>
        <v>Let It Be</v>
      </c>
    </row>
  </sheetData>
  <autoFilter ref="A1:H581" xr:uid="{AC494B57-AD65-4097-A01D-3CE97461CF02}"/>
  <sortState xmlns:xlrd2="http://schemas.microsoft.com/office/spreadsheetml/2017/richdata2" ref="A2:H582">
    <sortCondition ref="E2:E582"/>
    <sortCondition ref="A2:A582"/>
    <sortCondition ref="B2:B58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88FC-3ADE-4FEE-9DD0-B7153C1E2405}">
  <dimension ref="A1:D13"/>
  <sheetViews>
    <sheetView workbookViewId="0">
      <selection activeCell="C29" sqref="C29"/>
    </sheetView>
  </sheetViews>
  <sheetFormatPr defaultRowHeight="15" x14ac:dyDescent="0.25"/>
  <cols>
    <col min="1" max="1" width="19.28515625" bestFit="1" customWidth="1"/>
    <col min="2" max="2" width="34.5703125" bestFit="1" customWidth="1"/>
    <col min="3" max="3" width="22.140625" bestFit="1" customWidth="1"/>
    <col min="4" max="4" width="41.5703125" bestFit="1" customWidth="1"/>
    <col min="5" max="5" width="23.28515625" bestFit="1" customWidth="1"/>
  </cols>
  <sheetData>
    <row r="1" spans="1:4" x14ac:dyDescent="0.25">
      <c r="A1" t="s">
        <v>71</v>
      </c>
      <c r="B1" t="s">
        <v>2</v>
      </c>
      <c r="C1" t="s">
        <v>72</v>
      </c>
      <c r="D1" t="s">
        <v>73</v>
      </c>
    </row>
    <row r="2" spans="1:4" x14ac:dyDescent="0.25">
      <c r="A2" t="s">
        <v>74</v>
      </c>
      <c r="B2" t="s">
        <v>9</v>
      </c>
      <c r="C2">
        <v>1963</v>
      </c>
      <c r="D2" t="s">
        <v>88</v>
      </c>
    </row>
    <row r="3" spans="1:4" x14ac:dyDescent="0.25">
      <c r="A3" t="s">
        <v>75</v>
      </c>
      <c r="B3" t="s">
        <v>20</v>
      </c>
      <c r="C3">
        <v>1963</v>
      </c>
      <c r="D3" t="s">
        <v>89</v>
      </c>
    </row>
    <row r="4" spans="1:4" x14ac:dyDescent="0.25">
      <c r="A4" t="s">
        <v>76</v>
      </c>
      <c r="B4" t="s">
        <v>25</v>
      </c>
      <c r="C4">
        <v>1964</v>
      </c>
      <c r="D4" t="s">
        <v>90</v>
      </c>
    </row>
    <row r="5" spans="1:4" x14ac:dyDescent="0.25">
      <c r="A5" t="s">
        <v>77</v>
      </c>
      <c r="B5" t="s">
        <v>31</v>
      </c>
      <c r="C5">
        <v>1964</v>
      </c>
      <c r="D5" t="s">
        <v>91</v>
      </c>
    </row>
    <row r="6" spans="1:4" x14ac:dyDescent="0.25">
      <c r="A6" t="s">
        <v>78</v>
      </c>
      <c r="B6" t="s">
        <v>37</v>
      </c>
      <c r="C6">
        <v>1965</v>
      </c>
      <c r="D6" t="s">
        <v>92</v>
      </c>
    </row>
    <row r="7" spans="1:4" x14ac:dyDescent="0.25">
      <c r="A7" t="s">
        <v>79</v>
      </c>
      <c r="B7" t="s">
        <v>43</v>
      </c>
      <c r="C7">
        <v>1965</v>
      </c>
      <c r="D7" t="s">
        <v>93</v>
      </c>
    </row>
    <row r="8" spans="1:4" x14ac:dyDescent="0.25">
      <c r="A8" t="s">
        <v>80</v>
      </c>
      <c r="B8" t="s">
        <v>48</v>
      </c>
      <c r="C8">
        <v>1966</v>
      </c>
      <c r="D8" t="s">
        <v>94</v>
      </c>
    </row>
    <row r="9" spans="1:4" x14ac:dyDescent="0.25">
      <c r="A9" t="s">
        <v>81</v>
      </c>
      <c r="B9" t="s">
        <v>53</v>
      </c>
      <c r="C9">
        <v>1967</v>
      </c>
      <c r="D9" t="s">
        <v>95</v>
      </c>
    </row>
    <row r="10" spans="1:4" x14ac:dyDescent="0.25">
      <c r="A10" t="s">
        <v>82</v>
      </c>
      <c r="B10" t="s">
        <v>58</v>
      </c>
      <c r="C10">
        <v>1968</v>
      </c>
      <c r="D10" t="s">
        <v>96</v>
      </c>
    </row>
    <row r="11" spans="1:4" x14ac:dyDescent="0.25">
      <c r="A11" t="s">
        <v>83</v>
      </c>
      <c r="B11" t="s">
        <v>63</v>
      </c>
      <c r="C11">
        <v>1969</v>
      </c>
      <c r="D11" t="s">
        <v>99</v>
      </c>
    </row>
    <row r="12" spans="1:4" x14ac:dyDescent="0.25">
      <c r="A12" t="s">
        <v>85</v>
      </c>
      <c r="B12" t="s">
        <v>66</v>
      </c>
      <c r="C12">
        <v>1969</v>
      </c>
      <c r="D12" t="s">
        <v>97</v>
      </c>
    </row>
    <row r="13" spans="1:4" x14ac:dyDescent="0.25">
      <c r="A13" t="s">
        <v>87</v>
      </c>
      <c r="B13" t="s">
        <v>69</v>
      </c>
      <c r="C13">
        <v>1970</v>
      </c>
      <c r="D13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BE1C-DC90-4145-90C0-F74CBDEC254B}">
  <dimension ref="A1:D172"/>
  <sheetViews>
    <sheetView workbookViewId="0">
      <selection activeCell="K60" sqref="K60"/>
    </sheetView>
  </sheetViews>
  <sheetFormatPr defaultRowHeight="15" x14ac:dyDescent="0.25"/>
  <cols>
    <col min="1" max="1" width="17.85546875" bestFit="1" customWidth="1"/>
    <col min="2" max="2" width="55.28515625" bestFit="1" customWidth="1"/>
    <col min="3" max="3" width="40.85546875" bestFit="1" customWidth="1"/>
    <col min="4" max="4" width="33" bestFit="1" customWidth="1"/>
  </cols>
  <sheetData>
    <row r="1" spans="1:4" x14ac:dyDescent="0.25">
      <c r="A1" t="s">
        <v>320</v>
      </c>
      <c r="B1" t="s">
        <v>321</v>
      </c>
      <c r="C1" t="s">
        <v>103</v>
      </c>
      <c r="D1" t="s">
        <v>73</v>
      </c>
    </row>
    <row r="2" spans="1:4" x14ac:dyDescent="0.25">
      <c r="A2" t="s">
        <v>322</v>
      </c>
      <c r="B2" t="s">
        <v>245</v>
      </c>
      <c r="C2" t="s">
        <v>105</v>
      </c>
    </row>
    <row r="3" spans="1:4" x14ac:dyDescent="0.25">
      <c r="A3" t="s">
        <v>323</v>
      </c>
      <c r="B3" t="s">
        <v>25</v>
      </c>
      <c r="C3" t="s">
        <v>105</v>
      </c>
    </row>
    <row r="4" spans="1:4" x14ac:dyDescent="0.25">
      <c r="A4" t="s">
        <v>324</v>
      </c>
      <c r="B4" t="s">
        <v>209</v>
      </c>
      <c r="C4" t="s">
        <v>210</v>
      </c>
    </row>
    <row r="5" spans="1:4" x14ac:dyDescent="0.25">
      <c r="A5" t="s">
        <v>325</v>
      </c>
      <c r="B5" t="s">
        <v>145</v>
      </c>
      <c r="C5" t="s">
        <v>105</v>
      </c>
    </row>
    <row r="6" spans="1:4" x14ac:dyDescent="0.25">
      <c r="A6" t="s">
        <v>326</v>
      </c>
      <c r="B6" t="s">
        <v>146</v>
      </c>
      <c r="C6" t="s">
        <v>105</v>
      </c>
    </row>
    <row r="7" spans="1:4" x14ac:dyDescent="0.25">
      <c r="A7" t="s">
        <v>327</v>
      </c>
      <c r="B7" t="s">
        <v>278</v>
      </c>
      <c r="C7" t="s">
        <v>105</v>
      </c>
    </row>
    <row r="8" spans="1:4" x14ac:dyDescent="0.25">
      <c r="A8" t="s">
        <v>328</v>
      </c>
      <c r="B8" t="s">
        <v>281</v>
      </c>
      <c r="C8" t="s">
        <v>105</v>
      </c>
    </row>
    <row r="9" spans="1:4" x14ac:dyDescent="0.25">
      <c r="A9" t="s">
        <v>329</v>
      </c>
      <c r="B9" t="s">
        <v>169</v>
      </c>
      <c r="C9" t="s">
        <v>105</v>
      </c>
    </row>
    <row r="10" spans="1:4" x14ac:dyDescent="0.25">
      <c r="A10" t="s">
        <v>330</v>
      </c>
      <c r="B10" t="s">
        <v>228</v>
      </c>
      <c r="C10" t="s">
        <v>105</v>
      </c>
    </row>
    <row r="11" spans="1:4" x14ac:dyDescent="0.25">
      <c r="A11" t="s">
        <v>331</v>
      </c>
      <c r="B11" t="s">
        <v>125</v>
      </c>
      <c r="C11" t="s">
        <v>126</v>
      </c>
    </row>
    <row r="12" spans="1:4" x14ac:dyDescent="0.25">
      <c r="A12" t="s">
        <v>332</v>
      </c>
      <c r="B12" t="s">
        <v>206</v>
      </c>
      <c r="C12" t="s">
        <v>105</v>
      </c>
    </row>
    <row r="13" spans="1:4" x14ac:dyDescent="0.25">
      <c r="A13" t="s">
        <v>333</v>
      </c>
      <c r="B13" t="s">
        <v>218</v>
      </c>
      <c r="C13" t="s">
        <v>84</v>
      </c>
    </row>
    <row r="14" spans="1:4" x14ac:dyDescent="0.25">
      <c r="A14" t="s">
        <v>334</v>
      </c>
      <c r="B14" t="s">
        <v>172</v>
      </c>
      <c r="C14" t="s">
        <v>105</v>
      </c>
    </row>
    <row r="15" spans="1:4" x14ac:dyDescent="0.25">
      <c r="A15" t="s">
        <v>335</v>
      </c>
      <c r="B15" t="s">
        <v>131</v>
      </c>
      <c r="C15" t="s">
        <v>105</v>
      </c>
    </row>
    <row r="16" spans="1:4" x14ac:dyDescent="0.25">
      <c r="A16" t="s">
        <v>336</v>
      </c>
      <c r="B16" t="s">
        <v>134</v>
      </c>
      <c r="C16" t="s">
        <v>135</v>
      </c>
    </row>
    <row r="17" spans="1:3" x14ac:dyDescent="0.25">
      <c r="A17" t="s">
        <v>337</v>
      </c>
      <c r="B17" t="s">
        <v>185</v>
      </c>
      <c r="C17" t="s">
        <v>105</v>
      </c>
    </row>
    <row r="18" spans="1:3" x14ac:dyDescent="0.25">
      <c r="A18" t="s">
        <v>338</v>
      </c>
      <c r="B18" t="s">
        <v>246</v>
      </c>
      <c r="C18" t="s">
        <v>105</v>
      </c>
    </row>
    <row r="19" spans="1:3" x14ac:dyDescent="0.25">
      <c r="A19" t="s">
        <v>339</v>
      </c>
      <c r="B19" t="s">
        <v>296</v>
      </c>
      <c r="C19" t="s">
        <v>105</v>
      </c>
    </row>
    <row r="20" spans="1:3" x14ac:dyDescent="0.25">
      <c r="A20" t="s">
        <v>340</v>
      </c>
      <c r="B20" t="s">
        <v>264</v>
      </c>
      <c r="C20" t="s">
        <v>105</v>
      </c>
    </row>
    <row r="21" spans="1:3" x14ac:dyDescent="0.25">
      <c r="A21" t="s">
        <v>341</v>
      </c>
      <c r="B21" t="s">
        <v>129</v>
      </c>
      <c r="C21" t="s">
        <v>130</v>
      </c>
    </row>
    <row r="22" spans="1:3" x14ac:dyDescent="0.25">
      <c r="A22" t="s">
        <v>342</v>
      </c>
      <c r="B22" t="s">
        <v>171</v>
      </c>
      <c r="C22" t="s">
        <v>105</v>
      </c>
    </row>
    <row r="23" spans="1:3" x14ac:dyDescent="0.25">
      <c r="A23" t="s">
        <v>343</v>
      </c>
      <c r="B23" t="s">
        <v>303</v>
      </c>
      <c r="C23" t="s">
        <v>105</v>
      </c>
    </row>
    <row r="24" spans="1:3" x14ac:dyDescent="0.25">
      <c r="A24" t="s">
        <v>344</v>
      </c>
      <c r="B24" t="s">
        <v>127</v>
      </c>
      <c r="C24" t="s">
        <v>128</v>
      </c>
    </row>
    <row r="25" spans="1:3" x14ac:dyDescent="0.25">
      <c r="A25" t="s">
        <v>345</v>
      </c>
      <c r="B25" t="s">
        <v>289</v>
      </c>
      <c r="C25" t="s">
        <v>105</v>
      </c>
    </row>
    <row r="26" spans="1:3" x14ac:dyDescent="0.25">
      <c r="A26" t="s">
        <v>346</v>
      </c>
      <c r="B26" t="s">
        <v>274</v>
      </c>
      <c r="C26" t="s">
        <v>105</v>
      </c>
    </row>
    <row r="27" spans="1:3" x14ac:dyDescent="0.25">
      <c r="A27" t="s">
        <v>347</v>
      </c>
      <c r="B27" t="s">
        <v>247</v>
      </c>
      <c r="C27" t="s">
        <v>105</v>
      </c>
    </row>
    <row r="28" spans="1:3" x14ac:dyDescent="0.25">
      <c r="A28" t="s">
        <v>348</v>
      </c>
      <c r="B28" t="s">
        <v>159</v>
      </c>
      <c r="C28" t="s">
        <v>160</v>
      </c>
    </row>
    <row r="29" spans="1:3" x14ac:dyDescent="0.25">
      <c r="A29" t="s">
        <v>349</v>
      </c>
      <c r="B29" t="s">
        <v>310</v>
      </c>
      <c r="C29" t="s">
        <v>311</v>
      </c>
    </row>
    <row r="30" spans="1:3" x14ac:dyDescent="0.25">
      <c r="A30" t="s">
        <v>350</v>
      </c>
      <c r="B30" t="s">
        <v>307</v>
      </c>
      <c r="C30" t="s">
        <v>105</v>
      </c>
    </row>
    <row r="31" spans="1:3" x14ac:dyDescent="0.25">
      <c r="A31" t="s">
        <v>351</v>
      </c>
      <c r="B31" t="s">
        <v>214</v>
      </c>
      <c r="C31" t="s">
        <v>215</v>
      </c>
    </row>
    <row r="32" spans="1:3" x14ac:dyDescent="0.25">
      <c r="A32" t="s">
        <v>352</v>
      </c>
      <c r="B32" t="s">
        <v>230</v>
      </c>
      <c r="C32" t="s">
        <v>105</v>
      </c>
    </row>
    <row r="33" spans="1:3" x14ac:dyDescent="0.25">
      <c r="A33" t="s">
        <v>353</v>
      </c>
      <c r="B33" t="s">
        <v>147</v>
      </c>
      <c r="C33" t="s">
        <v>110</v>
      </c>
    </row>
    <row r="34" spans="1:3" x14ac:dyDescent="0.25">
      <c r="A34" t="s">
        <v>354</v>
      </c>
      <c r="B34" t="s">
        <v>259</v>
      </c>
      <c r="C34" t="s">
        <v>260</v>
      </c>
    </row>
    <row r="35" spans="1:3" x14ac:dyDescent="0.25">
      <c r="A35" t="s">
        <v>355</v>
      </c>
      <c r="B35" t="s">
        <v>104</v>
      </c>
      <c r="C35" t="s">
        <v>105</v>
      </c>
    </row>
    <row r="36" spans="1:3" x14ac:dyDescent="0.25">
      <c r="A36" t="s">
        <v>356</v>
      </c>
      <c r="B36" t="s">
        <v>192</v>
      </c>
      <c r="C36" t="s">
        <v>105</v>
      </c>
    </row>
    <row r="37" spans="1:3" x14ac:dyDescent="0.25">
      <c r="A37" t="s">
        <v>357</v>
      </c>
      <c r="B37" t="s">
        <v>222</v>
      </c>
      <c r="C37" t="s">
        <v>105</v>
      </c>
    </row>
    <row r="38" spans="1:3" x14ac:dyDescent="0.25">
      <c r="A38" t="s">
        <v>358</v>
      </c>
      <c r="B38" t="s">
        <v>267</v>
      </c>
      <c r="C38" t="s">
        <v>105</v>
      </c>
    </row>
    <row r="39" spans="1:3" x14ac:dyDescent="0.25">
      <c r="A39" t="s">
        <v>359</v>
      </c>
      <c r="B39" t="s">
        <v>200</v>
      </c>
      <c r="C39" t="s">
        <v>196</v>
      </c>
    </row>
    <row r="40" spans="1:3" x14ac:dyDescent="0.25">
      <c r="A40" t="s">
        <v>360</v>
      </c>
      <c r="B40" t="s">
        <v>237</v>
      </c>
      <c r="C40" t="s">
        <v>105</v>
      </c>
    </row>
    <row r="41" spans="1:3" x14ac:dyDescent="0.25">
      <c r="A41" t="s">
        <v>361</v>
      </c>
      <c r="B41" t="s">
        <v>229</v>
      </c>
      <c r="C41" t="s">
        <v>105</v>
      </c>
    </row>
    <row r="42" spans="1:3" x14ac:dyDescent="0.25">
      <c r="A42" t="s">
        <v>362</v>
      </c>
      <c r="B42" t="s">
        <v>317</v>
      </c>
      <c r="C42" t="s">
        <v>110</v>
      </c>
    </row>
    <row r="43" spans="1:3" x14ac:dyDescent="0.25">
      <c r="A43" t="s">
        <v>363</v>
      </c>
      <c r="B43" t="s">
        <v>216</v>
      </c>
      <c r="C43" t="s">
        <v>84</v>
      </c>
    </row>
    <row r="44" spans="1:3" x14ac:dyDescent="0.25">
      <c r="A44" t="s">
        <v>364</v>
      </c>
      <c r="B44" t="s">
        <v>236</v>
      </c>
      <c r="C44" t="s">
        <v>105</v>
      </c>
    </row>
    <row r="45" spans="1:3" x14ac:dyDescent="0.25">
      <c r="A45" t="s">
        <v>365</v>
      </c>
      <c r="B45" t="s">
        <v>115</v>
      </c>
      <c r="C45" t="s">
        <v>105</v>
      </c>
    </row>
    <row r="46" spans="1:3" x14ac:dyDescent="0.25">
      <c r="A46" t="s">
        <v>366</v>
      </c>
      <c r="B46" t="s">
        <v>248</v>
      </c>
      <c r="C46" t="s">
        <v>105</v>
      </c>
    </row>
    <row r="47" spans="1:3" x14ac:dyDescent="0.25">
      <c r="A47" t="s">
        <v>367</v>
      </c>
      <c r="B47" t="s">
        <v>302</v>
      </c>
      <c r="C47" t="s">
        <v>105</v>
      </c>
    </row>
    <row r="48" spans="1:3" x14ac:dyDescent="0.25">
      <c r="A48" t="s">
        <v>368</v>
      </c>
      <c r="B48" t="s">
        <v>227</v>
      </c>
      <c r="C48" t="s">
        <v>105</v>
      </c>
    </row>
    <row r="49" spans="1:4" x14ac:dyDescent="0.25">
      <c r="A49" t="s">
        <v>369</v>
      </c>
      <c r="B49" t="s">
        <v>243</v>
      </c>
      <c r="C49" t="s">
        <v>105</v>
      </c>
    </row>
    <row r="50" spans="1:4" x14ac:dyDescent="0.25">
      <c r="A50" t="s">
        <v>370</v>
      </c>
      <c r="B50" t="s">
        <v>276</v>
      </c>
      <c r="C50" t="s">
        <v>105</v>
      </c>
    </row>
    <row r="51" spans="1:4" x14ac:dyDescent="0.25">
      <c r="A51" t="s">
        <v>371</v>
      </c>
      <c r="B51" t="s">
        <v>232</v>
      </c>
      <c r="C51" t="s">
        <v>105</v>
      </c>
    </row>
    <row r="52" spans="1:4" x14ac:dyDescent="0.25">
      <c r="A52" t="s">
        <v>372</v>
      </c>
      <c r="B52" t="s">
        <v>295</v>
      </c>
      <c r="C52" t="s">
        <v>110</v>
      </c>
    </row>
    <row r="53" spans="1:4" x14ac:dyDescent="0.25">
      <c r="A53" t="s">
        <v>373</v>
      </c>
      <c r="B53" t="s">
        <v>225</v>
      </c>
      <c r="C53" t="s">
        <v>105</v>
      </c>
    </row>
    <row r="54" spans="1:4" x14ac:dyDescent="0.25">
      <c r="A54" t="s">
        <v>374</v>
      </c>
      <c r="B54" t="s">
        <v>279</v>
      </c>
      <c r="C54" t="s">
        <v>105</v>
      </c>
    </row>
    <row r="55" spans="1:4" x14ac:dyDescent="0.25">
      <c r="A55" t="s">
        <v>375</v>
      </c>
      <c r="B55" t="s">
        <v>155</v>
      </c>
      <c r="C55" t="s">
        <v>105</v>
      </c>
    </row>
    <row r="56" spans="1:4" x14ac:dyDescent="0.25">
      <c r="A56" t="s">
        <v>376</v>
      </c>
      <c r="B56" t="s">
        <v>195</v>
      </c>
      <c r="C56" t="s">
        <v>196</v>
      </c>
    </row>
    <row r="57" spans="1:4" x14ac:dyDescent="0.25">
      <c r="A57" t="s">
        <v>377</v>
      </c>
      <c r="B57" t="s">
        <v>272</v>
      </c>
      <c r="C57" t="s">
        <v>105</v>
      </c>
    </row>
    <row r="58" spans="1:4" x14ac:dyDescent="0.25">
      <c r="A58" t="s">
        <v>378</v>
      </c>
      <c r="B58" t="s">
        <v>379</v>
      </c>
      <c r="C58" t="s">
        <v>84</v>
      </c>
      <c r="D58" t="s">
        <v>380</v>
      </c>
    </row>
    <row r="59" spans="1:4" x14ac:dyDescent="0.25">
      <c r="A59" t="s">
        <v>381</v>
      </c>
      <c r="B59" t="s">
        <v>382</v>
      </c>
      <c r="C59" t="s">
        <v>84</v>
      </c>
      <c r="D59" t="s">
        <v>380</v>
      </c>
    </row>
    <row r="60" spans="1:4" x14ac:dyDescent="0.25">
      <c r="A60" t="s">
        <v>383</v>
      </c>
      <c r="B60" t="s">
        <v>384</v>
      </c>
      <c r="C60" t="s">
        <v>84</v>
      </c>
      <c r="D60" t="s">
        <v>380</v>
      </c>
    </row>
    <row r="61" spans="1:4" x14ac:dyDescent="0.25">
      <c r="A61" t="s">
        <v>385</v>
      </c>
      <c r="B61" t="s">
        <v>198</v>
      </c>
      <c r="C61" t="s">
        <v>105</v>
      </c>
    </row>
    <row r="62" spans="1:4" x14ac:dyDescent="0.25">
      <c r="A62" t="s">
        <v>386</v>
      </c>
      <c r="B62" t="s">
        <v>202</v>
      </c>
      <c r="C62" t="s">
        <v>105</v>
      </c>
    </row>
    <row r="63" spans="1:4" x14ac:dyDescent="0.25">
      <c r="A63" t="s">
        <v>387</v>
      </c>
      <c r="B63" t="s">
        <v>309</v>
      </c>
      <c r="C63" t="s">
        <v>110</v>
      </c>
    </row>
    <row r="64" spans="1:4" x14ac:dyDescent="0.25">
      <c r="A64" t="s">
        <v>388</v>
      </c>
      <c r="B64" t="s">
        <v>205</v>
      </c>
      <c r="C64" t="s">
        <v>110</v>
      </c>
    </row>
    <row r="65" spans="1:3" x14ac:dyDescent="0.25">
      <c r="A65" t="s">
        <v>389</v>
      </c>
      <c r="B65" t="s">
        <v>123</v>
      </c>
      <c r="C65" t="s">
        <v>105</v>
      </c>
    </row>
    <row r="66" spans="1:3" x14ac:dyDescent="0.25">
      <c r="A66" t="s">
        <v>390</v>
      </c>
      <c r="B66" t="s">
        <v>166</v>
      </c>
      <c r="C66" t="s">
        <v>105</v>
      </c>
    </row>
    <row r="67" spans="1:3" x14ac:dyDescent="0.25">
      <c r="A67" t="s">
        <v>391</v>
      </c>
      <c r="B67" t="s">
        <v>158</v>
      </c>
      <c r="C67" t="s">
        <v>105</v>
      </c>
    </row>
    <row r="68" spans="1:3" x14ac:dyDescent="0.25">
      <c r="A68" t="s">
        <v>392</v>
      </c>
      <c r="B68" t="s">
        <v>294</v>
      </c>
      <c r="C68" t="s">
        <v>105</v>
      </c>
    </row>
    <row r="69" spans="1:3" x14ac:dyDescent="0.25">
      <c r="A69" t="s">
        <v>393</v>
      </c>
      <c r="B69" t="s">
        <v>231</v>
      </c>
      <c r="C69" t="s">
        <v>110</v>
      </c>
    </row>
    <row r="70" spans="1:3" x14ac:dyDescent="0.25">
      <c r="A70" t="s">
        <v>394</v>
      </c>
      <c r="B70" t="s">
        <v>262</v>
      </c>
      <c r="C70" t="s">
        <v>105</v>
      </c>
    </row>
    <row r="71" spans="1:3" x14ac:dyDescent="0.25">
      <c r="A71" t="s">
        <v>395</v>
      </c>
      <c r="B71" t="s">
        <v>177</v>
      </c>
      <c r="C71" t="s">
        <v>105</v>
      </c>
    </row>
    <row r="72" spans="1:3" x14ac:dyDescent="0.25">
      <c r="A72" t="s">
        <v>396</v>
      </c>
      <c r="B72" t="s">
        <v>173</v>
      </c>
      <c r="C72" t="s">
        <v>105</v>
      </c>
    </row>
    <row r="73" spans="1:3" x14ac:dyDescent="0.25">
      <c r="A73" t="s">
        <v>397</v>
      </c>
      <c r="B73" t="s">
        <v>187</v>
      </c>
      <c r="C73" t="s">
        <v>105</v>
      </c>
    </row>
    <row r="74" spans="1:3" x14ac:dyDescent="0.25">
      <c r="A74" t="s">
        <v>398</v>
      </c>
      <c r="B74" t="s">
        <v>184</v>
      </c>
      <c r="C74" t="s">
        <v>105</v>
      </c>
    </row>
    <row r="75" spans="1:3" x14ac:dyDescent="0.25">
      <c r="A75" t="s">
        <v>399</v>
      </c>
      <c r="B75" t="s">
        <v>168</v>
      </c>
      <c r="C75" t="s">
        <v>105</v>
      </c>
    </row>
    <row r="76" spans="1:3" x14ac:dyDescent="0.25">
      <c r="A76" t="s">
        <v>400</v>
      </c>
      <c r="B76" t="s">
        <v>116</v>
      </c>
      <c r="C76" t="s">
        <v>105</v>
      </c>
    </row>
    <row r="77" spans="1:3" x14ac:dyDescent="0.25">
      <c r="A77" t="s">
        <v>401</v>
      </c>
      <c r="B77" t="s">
        <v>223</v>
      </c>
      <c r="C77" t="s">
        <v>105</v>
      </c>
    </row>
    <row r="78" spans="1:3" x14ac:dyDescent="0.25">
      <c r="A78" t="s">
        <v>402</v>
      </c>
      <c r="B78" t="s">
        <v>255</v>
      </c>
      <c r="C78" t="s">
        <v>105</v>
      </c>
    </row>
    <row r="79" spans="1:3" x14ac:dyDescent="0.25">
      <c r="A79" t="s">
        <v>403</v>
      </c>
      <c r="B79" t="s">
        <v>314</v>
      </c>
      <c r="C79" t="s">
        <v>105</v>
      </c>
    </row>
    <row r="80" spans="1:3" x14ac:dyDescent="0.25">
      <c r="A80" t="s">
        <v>404</v>
      </c>
      <c r="B80" t="s">
        <v>121</v>
      </c>
      <c r="C80" t="s">
        <v>105</v>
      </c>
    </row>
    <row r="81" spans="1:4" x14ac:dyDescent="0.25">
      <c r="A81" t="s">
        <v>405</v>
      </c>
      <c r="B81" t="s">
        <v>167</v>
      </c>
      <c r="C81" t="s">
        <v>105</v>
      </c>
    </row>
    <row r="82" spans="1:4" x14ac:dyDescent="0.25">
      <c r="A82" t="s">
        <v>406</v>
      </c>
      <c r="B82" t="s">
        <v>119</v>
      </c>
      <c r="C82" t="s">
        <v>110</v>
      </c>
    </row>
    <row r="83" spans="1:4" x14ac:dyDescent="0.25">
      <c r="A83" t="s">
        <v>407</v>
      </c>
      <c r="B83" t="s">
        <v>117</v>
      </c>
      <c r="C83" t="s">
        <v>105</v>
      </c>
    </row>
    <row r="84" spans="1:4" x14ac:dyDescent="0.25">
      <c r="A84" t="s">
        <v>408</v>
      </c>
      <c r="B84" t="s">
        <v>217</v>
      </c>
      <c r="C84" t="s">
        <v>84</v>
      </c>
    </row>
    <row r="85" spans="1:4" x14ac:dyDescent="0.25">
      <c r="A85" t="s">
        <v>409</v>
      </c>
      <c r="B85" t="s">
        <v>144</v>
      </c>
      <c r="C85" t="s">
        <v>105</v>
      </c>
    </row>
    <row r="86" spans="1:4" x14ac:dyDescent="0.25">
      <c r="A86" t="s">
        <v>410</v>
      </c>
      <c r="B86" t="s">
        <v>280</v>
      </c>
      <c r="C86" t="s">
        <v>110</v>
      </c>
    </row>
    <row r="87" spans="1:4" x14ac:dyDescent="0.25">
      <c r="A87" t="s">
        <v>411</v>
      </c>
      <c r="B87" t="s">
        <v>122</v>
      </c>
      <c r="C87" t="s">
        <v>105</v>
      </c>
    </row>
    <row r="88" spans="1:4" x14ac:dyDescent="0.25">
      <c r="A88" t="s">
        <v>412</v>
      </c>
      <c r="B88" t="s">
        <v>190</v>
      </c>
      <c r="C88" t="s">
        <v>191</v>
      </c>
      <c r="D88" t="s">
        <v>86</v>
      </c>
    </row>
    <row r="89" spans="1:4" x14ac:dyDescent="0.25">
      <c r="A89" t="s">
        <v>413</v>
      </c>
      <c r="B89" t="s">
        <v>69</v>
      </c>
      <c r="C89" t="s">
        <v>105</v>
      </c>
    </row>
    <row r="90" spans="1:4" x14ac:dyDescent="0.25">
      <c r="A90" t="s">
        <v>414</v>
      </c>
      <c r="B90" t="s">
        <v>148</v>
      </c>
      <c r="C90" t="s">
        <v>105</v>
      </c>
    </row>
    <row r="91" spans="1:4" x14ac:dyDescent="0.25">
      <c r="A91" t="s">
        <v>415</v>
      </c>
      <c r="B91" t="s">
        <v>270</v>
      </c>
      <c r="C91" t="s">
        <v>110</v>
      </c>
    </row>
    <row r="92" spans="1:4" x14ac:dyDescent="0.25">
      <c r="A92" t="s">
        <v>416</v>
      </c>
      <c r="B92" t="s">
        <v>417</v>
      </c>
      <c r="C92" t="s">
        <v>84</v>
      </c>
      <c r="D92" t="s">
        <v>418</v>
      </c>
    </row>
    <row r="93" spans="1:4" x14ac:dyDescent="0.25">
      <c r="A93" t="s">
        <v>419</v>
      </c>
      <c r="B93" t="s">
        <v>132</v>
      </c>
      <c r="C93" t="s">
        <v>105</v>
      </c>
    </row>
    <row r="94" spans="1:4" x14ac:dyDescent="0.25">
      <c r="A94" t="s">
        <v>420</v>
      </c>
      <c r="B94" t="s">
        <v>224</v>
      </c>
      <c r="C94" t="s">
        <v>110</v>
      </c>
    </row>
    <row r="95" spans="1:4" x14ac:dyDescent="0.25">
      <c r="A95" t="s">
        <v>421</v>
      </c>
      <c r="B95" t="s">
        <v>242</v>
      </c>
      <c r="C95" t="s">
        <v>105</v>
      </c>
    </row>
    <row r="96" spans="1:4" x14ac:dyDescent="0.25">
      <c r="A96" t="s">
        <v>422</v>
      </c>
      <c r="B96" t="s">
        <v>235</v>
      </c>
      <c r="C96" t="s">
        <v>105</v>
      </c>
    </row>
    <row r="97" spans="1:3" x14ac:dyDescent="0.25">
      <c r="A97" t="s">
        <v>423</v>
      </c>
      <c r="B97" t="s">
        <v>312</v>
      </c>
      <c r="C97" t="s">
        <v>313</v>
      </c>
    </row>
    <row r="98" spans="1:3" x14ac:dyDescent="0.25">
      <c r="A98" t="s">
        <v>424</v>
      </c>
      <c r="B98" t="s">
        <v>286</v>
      </c>
      <c r="C98" t="s">
        <v>84</v>
      </c>
    </row>
    <row r="99" spans="1:3" x14ac:dyDescent="0.25">
      <c r="A99" t="s">
        <v>425</v>
      </c>
      <c r="B99" t="s">
        <v>254</v>
      </c>
      <c r="C99" t="s">
        <v>105</v>
      </c>
    </row>
    <row r="100" spans="1:3" x14ac:dyDescent="0.25">
      <c r="A100" t="s">
        <v>426</v>
      </c>
      <c r="B100" t="s">
        <v>291</v>
      </c>
      <c r="C100" t="s">
        <v>105</v>
      </c>
    </row>
    <row r="101" spans="1:3" x14ac:dyDescent="0.25">
      <c r="A101" t="s">
        <v>427</v>
      </c>
      <c r="B101" t="s">
        <v>299</v>
      </c>
      <c r="C101" t="s">
        <v>105</v>
      </c>
    </row>
    <row r="102" spans="1:3" x14ac:dyDescent="0.25">
      <c r="A102" t="s">
        <v>428</v>
      </c>
      <c r="B102" t="s">
        <v>112</v>
      </c>
      <c r="C102" t="s">
        <v>105</v>
      </c>
    </row>
    <row r="103" spans="1:3" x14ac:dyDescent="0.25">
      <c r="A103" t="s">
        <v>429</v>
      </c>
      <c r="B103" t="s">
        <v>124</v>
      </c>
      <c r="C103" t="s">
        <v>105</v>
      </c>
    </row>
    <row r="104" spans="1:3" x14ac:dyDescent="0.25">
      <c r="A104" t="s">
        <v>430</v>
      </c>
      <c r="B104" t="s">
        <v>266</v>
      </c>
      <c r="C104" t="s">
        <v>105</v>
      </c>
    </row>
    <row r="105" spans="1:3" x14ac:dyDescent="0.25">
      <c r="A105" t="s">
        <v>431</v>
      </c>
      <c r="B105" t="s">
        <v>188</v>
      </c>
      <c r="C105" t="s">
        <v>189</v>
      </c>
    </row>
    <row r="106" spans="1:3" x14ac:dyDescent="0.25">
      <c r="A106" t="s">
        <v>432</v>
      </c>
      <c r="B106" t="s">
        <v>183</v>
      </c>
      <c r="C106" t="s">
        <v>105</v>
      </c>
    </row>
    <row r="107" spans="1:3" x14ac:dyDescent="0.25">
      <c r="A107" t="s">
        <v>433</v>
      </c>
      <c r="B107" t="s">
        <v>161</v>
      </c>
      <c r="C107" t="s">
        <v>105</v>
      </c>
    </row>
    <row r="108" spans="1:3" x14ac:dyDescent="0.25">
      <c r="A108" t="s">
        <v>434</v>
      </c>
      <c r="B108" t="s">
        <v>108</v>
      </c>
      <c r="C108" t="s">
        <v>105</v>
      </c>
    </row>
    <row r="109" spans="1:3" x14ac:dyDescent="0.25">
      <c r="A109" t="s">
        <v>435</v>
      </c>
      <c r="B109" t="s">
        <v>249</v>
      </c>
      <c r="C109" t="s">
        <v>105</v>
      </c>
    </row>
    <row r="110" spans="1:3" x14ac:dyDescent="0.25">
      <c r="A110" t="s">
        <v>436</v>
      </c>
      <c r="B110" t="s">
        <v>293</v>
      </c>
      <c r="C110" t="s">
        <v>260</v>
      </c>
    </row>
    <row r="111" spans="1:3" x14ac:dyDescent="0.25">
      <c r="A111" t="s">
        <v>437</v>
      </c>
      <c r="B111" t="s">
        <v>292</v>
      </c>
      <c r="C111" t="s">
        <v>105</v>
      </c>
    </row>
    <row r="112" spans="1:3" x14ac:dyDescent="0.25">
      <c r="A112" t="s">
        <v>438</v>
      </c>
      <c r="B112" t="s">
        <v>277</v>
      </c>
      <c r="C112" t="s">
        <v>110</v>
      </c>
    </row>
    <row r="113" spans="1:3" x14ac:dyDescent="0.25">
      <c r="A113" t="s">
        <v>439</v>
      </c>
      <c r="B113" t="s">
        <v>133</v>
      </c>
      <c r="C113" t="s">
        <v>105</v>
      </c>
    </row>
    <row r="114" spans="1:3" x14ac:dyDescent="0.25">
      <c r="A114" t="s">
        <v>440</v>
      </c>
      <c r="B114" t="s">
        <v>282</v>
      </c>
      <c r="C114" t="s">
        <v>84</v>
      </c>
    </row>
    <row r="115" spans="1:3" x14ac:dyDescent="0.25">
      <c r="A115" t="s">
        <v>441</v>
      </c>
      <c r="B115" t="s">
        <v>287</v>
      </c>
      <c r="C115" t="s">
        <v>84</v>
      </c>
    </row>
    <row r="116" spans="1:3" x14ac:dyDescent="0.25">
      <c r="A116" t="s">
        <v>442</v>
      </c>
      <c r="B116" t="s">
        <v>257</v>
      </c>
      <c r="C116" t="s">
        <v>110</v>
      </c>
    </row>
    <row r="117" spans="1:3" x14ac:dyDescent="0.25">
      <c r="A117" t="s">
        <v>443</v>
      </c>
      <c r="B117" t="s">
        <v>151</v>
      </c>
      <c r="C117" t="s">
        <v>152</v>
      </c>
    </row>
    <row r="118" spans="1:3" x14ac:dyDescent="0.25">
      <c r="A118" t="s">
        <v>444</v>
      </c>
      <c r="B118" t="s">
        <v>9</v>
      </c>
      <c r="C118" t="s">
        <v>105</v>
      </c>
    </row>
    <row r="119" spans="1:3" x14ac:dyDescent="0.25">
      <c r="A119" t="s">
        <v>445</v>
      </c>
      <c r="B119" t="s">
        <v>300</v>
      </c>
      <c r="C119" t="s">
        <v>105</v>
      </c>
    </row>
    <row r="120" spans="1:3" x14ac:dyDescent="0.25">
      <c r="A120" t="s">
        <v>446</v>
      </c>
      <c r="B120" t="s">
        <v>271</v>
      </c>
      <c r="C120" t="s">
        <v>105</v>
      </c>
    </row>
    <row r="121" spans="1:3" x14ac:dyDescent="0.25">
      <c r="A121" t="s">
        <v>447</v>
      </c>
      <c r="B121" t="s">
        <v>275</v>
      </c>
      <c r="C121" t="s">
        <v>105</v>
      </c>
    </row>
    <row r="122" spans="1:3" x14ac:dyDescent="0.25">
      <c r="A122" t="s">
        <v>448</v>
      </c>
      <c r="B122" t="s">
        <v>181</v>
      </c>
      <c r="C122" t="s">
        <v>84</v>
      </c>
    </row>
    <row r="123" spans="1:3" x14ac:dyDescent="0.25">
      <c r="A123" t="s">
        <v>449</v>
      </c>
      <c r="B123" t="s">
        <v>186</v>
      </c>
      <c r="C123" t="s">
        <v>154</v>
      </c>
    </row>
    <row r="124" spans="1:3" x14ac:dyDescent="0.25">
      <c r="A124" t="s">
        <v>450</v>
      </c>
      <c r="B124" t="s">
        <v>258</v>
      </c>
      <c r="C124" t="s">
        <v>105</v>
      </c>
    </row>
    <row r="125" spans="1:3" x14ac:dyDescent="0.25">
      <c r="A125" t="s">
        <v>451</v>
      </c>
      <c r="B125" t="s">
        <v>153</v>
      </c>
      <c r="C125" t="s">
        <v>154</v>
      </c>
    </row>
    <row r="126" spans="1:3" x14ac:dyDescent="0.25">
      <c r="A126" t="s">
        <v>452</v>
      </c>
      <c r="B126" t="s">
        <v>120</v>
      </c>
      <c r="C126" t="s">
        <v>105</v>
      </c>
    </row>
    <row r="127" spans="1:3" x14ac:dyDescent="0.25">
      <c r="A127" t="s">
        <v>453</v>
      </c>
      <c r="B127" t="s">
        <v>273</v>
      </c>
      <c r="C127" t="s">
        <v>110</v>
      </c>
    </row>
    <row r="128" spans="1:3" x14ac:dyDescent="0.25">
      <c r="A128" t="s">
        <v>454</v>
      </c>
      <c r="B128" t="s">
        <v>284</v>
      </c>
      <c r="C128" t="s">
        <v>84</v>
      </c>
    </row>
    <row r="129" spans="1:4" x14ac:dyDescent="0.25">
      <c r="A129" t="s">
        <v>455</v>
      </c>
      <c r="B129" t="s">
        <v>285</v>
      </c>
      <c r="C129" t="s">
        <v>84</v>
      </c>
    </row>
    <row r="130" spans="1:4" x14ac:dyDescent="0.25">
      <c r="A130" t="s">
        <v>456</v>
      </c>
      <c r="B130" t="s">
        <v>283</v>
      </c>
      <c r="C130" t="s">
        <v>84</v>
      </c>
    </row>
    <row r="131" spans="1:4" x14ac:dyDescent="0.25">
      <c r="A131" t="s">
        <v>457</v>
      </c>
      <c r="B131" t="s">
        <v>268</v>
      </c>
      <c r="C131" t="s">
        <v>105</v>
      </c>
    </row>
    <row r="132" spans="1:4" x14ac:dyDescent="0.25">
      <c r="A132" t="s">
        <v>458</v>
      </c>
      <c r="B132" t="s">
        <v>301</v>
      </c>
      <c r="C132" t="s">
        <v>105</v>
      </c>
    </row>
    <row r="133" spans="1:4" x14ac:dyDescent="0.25">
      <c r="A133" t="s">
        <v>459</v>
      </c>
      <c r="B133" t="s">
        <v>226</v>
      </c>
      <c r="C133" t="s">
        <v>105</v>
      </c>
    </row>
    <row r="134" spans="1:4" x14ac:dyDescent="0.25">
      <c r="A134" t="s">
        <v>460</v>
      </c>
      <c r="B134" t="s">
        <v>201</v>
      </c>
      <c r="C134" t="s">
        <v>105</v>
      </c>
    </row>
    <row r="135" spans="1:4" x14ac:dyDescent="0.25">
      <c r="A135" t="s">
        <v>461</v>
      </c>
      <c r="B135" t="s">
        <v>238</v>
      </c>
      <c r="C135" t="s">
        <v>105</v>
      </c>
    </row>
    <row r="136" spans="1:4" x14ac:dyDescent="0.25">
      <c r="A136" t="s">
        <v>462</v>
      </c>
      <c r="B136" t="s">
        <v>298</v>
      </c>
      <c r="C136" t="s">
        <v>105</v>
      </c>
    </row>
    <row r="137" spans="1:4" x14ac:dyDescent="0.25">
      <c r="A137" t="s">
        <v>463</v>
      </c>
      <c r="B137" t="s">
        <v>221</v>
      </c>
      <c r="C137" t="s">
        <v>110</v>
      </c>
    </row>
    <row r="138" spans="1:4" x14ac:dyDescent="0.25">
      <c r="A138" t="s">
        <v>464</v>
      </c>
      <c r="B138" t="s">
        <v>212</v>
      </c>
      <c r="C138" t="s">
        <v>105</v>
      </c>
    </row>
    <row r="139" spans="1:4" x14ac:dyDescent="0.25">
      <c r="A139" t="s">
        <v>465</v>
      </c>
      <c r="B139" t="s">
        <v>170</v>
      </c>
      <c r="C139" t="s">
        <v>105</v>
      </c>
    </row>
    <row r="140" spans="1:4" x14ac:dyDescent="0.25">
      <c r="A140" t="s">
        <v>466</v>
      </c>
      <c r="B140" t="s">
        <v>219</v>
      </c>
      <c r="C140" t="s">
        <v>84</v>
      </c>
      <c r="D140" t="s">
        <v>86</v>
      </c>
    </row>
    <row r="141" spans="1:4" x14ac:dyDescent="0.25">
      <c r="A141" t="s">
        <v>467</v>
      </c>
      <c r="B141" t="s">
        <v>220</v>
      </c>
      <c r="C141" t="s">
        <v>84</v>
      </c>
    </row>
    <row r="142" spans="1:4" x14ac:dyDescent="0.25">
      <c r="A142" t="s">
        <v>468</v>
      </c>
      <c r="B142" t="s">
        <v>251</v>
      </c>
      <c r="C142" t="s">
        <v>105</v>
      </c>
    </row>
    <row r="143" spans="1:4" x14ac:dyDescent="0.25">
      <c r="A143" t="s">
        <v>469</v>
      </c>
      <c r="B143" t="s">
        <v>304</v>
      </c>
      <c r="C143" t="s">
        <v>105</v>
      </c>
    </row>
    <row r="144" spans="1:4" x14ac:dyDescent="0.25">
      <c r="A144" t="s">
        <v>470</v>
      </c>
      <c r="B144" t="s">
        <v>316</v>
      </c>
      <c r="C144" t="s">
        <v>105</v>
      </c>
    </row>
    <row r="145" spans="1:4" x14ac:dyDescent="0.25">
      <c r="A145" t="s">
        <v>471</v>
      </c>
      <c r="B145" t="s">
        <v>203</v>
      </c>
      <c r="C145" t="s">
        <v>105</v>
      </c>
    </row>
    <row r="146" spans="1:4" x14ac:dyDescent="0.25">
      <c r="A146" t="s">
        <v>472</v>
      </c>
      <c r="B146" t="s">
        <v>139</v>
      </c>
      <c r="C146" t="s">
        <v>105</v>
      </c>
    </row>
    <row r="147" spans="1:4" x14ac:dyDescent="0.25">
      <c r="A147" t="s">
        <v>473</v>
      </c>
      <c r="B147" t="s">
        <v>174</v>
      </c>
      <c r="C147" t="s">
        <v>105</v>
      </c>
    </row>
    <row r="148" spans="1:4" x14ac:dyDescent="0.25">
      <c r="A148" t="s">
        <v>474</v>
      </c>
      <c r="B148" t="s">
        <v>109</v>
      </c>
      <c r="C148" t="s">
        <v>110</v>
      </c>
    </row>
    <row r="149" spans="1:4" x14ac:dyDescent="0.25">
      <c r="A149" t="s">
        <v>475</v>
      </c>
      <c r="B149" t="s">
        <v>165</v>
      </c>
      <c r="C149" t="s">
        <v>105</v>
      </c>
    </row>
    <row r="150" spans="1:4" x14ac:dyDescent="0.25">
      <c r="A150" t="s">
        <v>476</v>
      </c>
      <c r="B150" t="s">
        <v>149</v>
      </c>
      <c r="C150" t="s">
        <v>150</v>
      </c>
    </row>
    <row r="151" spans="1:4" x14ac:dyDescent="0.25">
      <c r="A151" t="s">
        <v>477</v>
      </c>
      <c r="B151" t="s">
        <v>208</v>
      </c>
      <c r="C151" t="s">
        <v>105</v>
      </c>
    </row>
    <row r="152" spans="1:4" x14ac:dyDescent="0.25">
      <c r="A152" t="s">
        <v>478</v>
      </c>
      <c r="B152" t="s">
        <v>233</v>
      </c>
      <c r="C152" t="s">
        <v>105</v>
      </c>
    </row>
    <row r="153" spans="1:4" x14ac:dyDescent="0.25">
      <c r="A153" t="s">
        <v>479</v>
      </c>
      <c r="B153" t="s">
        <v>306</v>
      </c>
      <c r="C153" t="s">
        <v>105</v>
      </c>
    </row>
    <row r="154" spans="1:4" x14ac:dyDescent="0.25">
      <c r="A154" t="s">
        <v>480</v>
      </c>
      <c r="B154" t="s">
        <v>118</v>
      </c>
      <c r="C154" t="s">
        <v>105</v>
      </c>
    </row>
    <row r="155" spans="1:4" x14ac:dyDescent="0.25">
      <c r="A155" t="s">
        <v>481</v>
      </c>
      <c r="B155" t="s">
        <v>482</v>
      </c>
      <c r="C155" t="s">
        <v>84</v>
      </c>
      <c r="D155" t="s">
        <v>418</v>
      </c>
    </row>
    <row r="156" spans="1:4" x14ac:dyDescent="0.25">
      <c r="A156" t="s">
        <v>483</v>
      </c>
      <c r="B156" t="s">
        <v>113</v>
      </c>
      <c r="C156" t="s">
        <v>114</v>
      </c>
    </row>
    <row r="157" spans="1:4" x14ac:dyDescent="0.25">
      <c r="A157" t="s">
        <v>484</v>
      </c>
      <c r="B157" t="s">
        <v>199</v>
      </c>
      <c r="C157" t="s">
        <v>105</v>
      </c>
    </row>
    <row r="158" spans="1:4" x14ac:dyDescent="0.25">
      <c r="A158" t="s">
        <v>485</v>
      </c>
      <c r="B158" t="s">
        <v>175</v>
      </c>
      <c r="C158" t="s">
        <v>105</v>
      </c>
    </row>
    <row r="159" spans="1:4" x14ac:dyDescent="0.25">
      <c r="A159" t="s">
        <v>486</v>
      </c>
      <c r="B159" t="s">
        <v>241</v>
      </c>
      <c r="C159" t="s">
        <v>105</v>
      </c>
    </row>
    <row r="160" spans="1:4" x14ac:dyDescent="0.25">
      <c r="A160" t="s">
        <v>487</v>
      </c>
      <c r="B160" t="s">
        <v>261</v>
      </c>
      <c r="C160" t="s">
        <v>105</v>
      </c>
    </row>
    <row r="161" spans="1:3" x14ac:dyDescent="0.25">
      <c r="A161" t="s">
        <v>488</v>
      </c>
      <c r="B161" t="s">
        <v>250</v>
      </c>
      <c r="C161" t="s">
        <v>105</v>
      </c>
    </row>
    <row r="162" spans="1:3" x14ac:dyDescent="0.25">
      <c r="A162" t="s">
        <v>489</v>
      </c>
      <c r="B162" t="s">
        <v>240</v>
      </c>
      <c r="C162" t="s">
        <v>110</v>
      </c>
    </row>
    <row r="163" spans="1:3" x14ac:dyDescent="0.25">
      <c r="A163" t="s">
        <v>490</v>
      </c>
      <c r="B163" t="s">
        <v>193</v>
      </c>
      <c r="C163" t="s">
        <v>194</v>
      </c>
    </row>
    <row r="164" spans="1:3" x14ac:dyDescent="0.25">
      <c r="A164" t="s">
        <v>491</v>
      </c>
      <c r="B164" t="s">
        <v>63</v>
      </c>
      <c r="C164" t="s">
        <v>105</v>
      </c>
    </row>
    <row r="165" spans="1:3" x14ac:dyDescent="0.25">
      <c r="A165" t="s">
        <v>492</v>
      </c>
      <c r="B165" t="s">
        <v>288</v>
      </c>
      <c r="C165" t="s">
        <v>84</v>
      </c>
    </row>
    <row r="166" spans="1:3" x14ac:dyDescent="0.25">
      <c r="A166" t="s">
        <v>493</v>
      </c>
      <c r="B166" t="s">
        <v>265</v>
      </c>
      <c r="C166" t="s">
        <v>105</v>
      </c>
    </row>
    <row r="167" spans="1:3" x14ac:dyDescent="0.25">
      <c r="A167" t="s">
        <v>494</v>
      </c>
      <c r="B167" t="s">
        <v>176</v>
      </c>
      <c r="C167" t="s">
        <v>105</v>
      </c>
    </row>
    <row r="168" spans="1:3" x14ac:dyDescent="0.25">
      <c r="A168" t="s">
        <v>495</v>
      </c>
      <c r="B168" t="s">
        <v>211</v>
      </c>
      <c r="C168" t="s">
        <v>110</v>
      </c>
    </row>
    <row r="169" spans="1:3" x14ac:dyDescent="0.25">
      <c r="A169" t="s">
        <v>496</v>
      </c>
      <c r="B169" t="s">
        <v>297</v>
      </c>
      <c r="C169" t="s">
        <v>105</v>
      </c>
    </row>
    <row r="170" spans="1:3" x14ac:dyDescent="0.25">
      <c r="A170" t="s">
        <v>497</v>
      </c>
      <c r="B170" t="s">
        <v>156</v>
      </c>
      <c r="C170" t="s">
        <v>157</v>
      </c>
    </row>
    <row r="171" spans="1:3" x14ac:dyDescent="0.25">
      <c r="A171" t="s">
        <v>498</v>
      </c>
      <c r="B171" t="s">
        <v>207</v>
      </c>
      <c r="C171" t="s">
        <v>105</v>
      </c>
    </row>
    <row r="172" spans="1:3" x14ac:dyDescent="0.25">
      <c r="A172" t="s">
        <v>499</v>
      </c>
      <c r="B172" t="s">
        <v>204</v>
      </c>
      <c r="C17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releases</vt:lpstr>
      <vt:lpstr>release-to-song</vt:lpstr>
      <vt:lpstr>canonical</vt:lpstr>
      <vt:lpstr>canonical_song</vt:lpstr>
      <vt:lpstr>canonical_album</vt:lpstr>
      <vt:lpstr>releases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Long</dc:creator>
  <cp:lastModifiedBy>Jeffrey Long</cp:lastModifiedBy>
  <dcterms:created xsi:type="dcterms:W3CDTF">2026-02-04T14:02:02Z</dcterms:created>
  <dcterms:modified xsi:type="dcterms:W3CDTF">2026-02-05T20:26:43Z</dcterms:modified>
</cp:coreProperties>
</file>